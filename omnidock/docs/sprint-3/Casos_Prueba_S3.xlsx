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rtada" sheetId="1" state="visible" r:id="rId3"/>
    <sheet name="Control" sheetId="2" state="visible" r:id="rId4"/>
    <sheet name="Identificación Cas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<sst xmlns="http://schemas.openxmlformats.org/spreadsheetml/2006/main" count="531" uniqueCount="292">
  <si>
    <t xml:space="preserve">OmniDock · Nodalix</t>
  </si>
  <si>
    <t xml:space="preserve">Plan y registro de pruebas — Sprint 3</t>
  </si>
  <si>
    <t xml:space="preserve">Proyecto</t>
  </si>
  <si>
    <t xml:space="preserve">OmniDock — plataforma de gestión de racks de micromovilidad</t>
  </si>
  <si>
    <t xml:space="preserve">Sprint</t>
  </si>
  <si>
    <t xml:space="preserve">Sprint 3</t>
  </si>
  <si>
    <t xml:space="preserve">Ambiente</t>
  </si>
  <si>
    <t xml:space="preserve">QA (backend local con perfil mock + app Android + panel web)</t>
  </si>
  <si>
    <t xml:space="preserve">Responsable de ejecución</t>
  </si>
  <si>
    <t xml:space="preserve">Carlos Román</t>
  </si>
  <si>
    <t xml:space="preserve">Fecha de preparación</t>
  </si>
  <si>
    <t xml:space="preserve">14-10-2026</t>
  </si>
  <si>
    <t xml:space="preserve">Total de casos</t>
  </si>
  <si>
    <t xml:space="preserve">Cómo usar este archivo</t>
  </si>
  <si>
    <t xml:space="preserve">•</t>
  </si>
  <si>
    <t xml:space="preserve">Hoja "Identificación Casos": un caso por fila. Al ejecutar, completa solo las columnas Resultado obtenido, Resultado, Fecha ejecución y Observación.</t>
  </si>
  <si>
    <t xml:space="preserve">Resultado: OK, NOK, Pendiente o Bloqueado (lista desplegable). La hoja "Control" se actualiza sola.</t>
  </si>
  <si>
    <t xml:space="preserve">Columna Plataforma: Móvil (app) = celular Android · Web (admin) = panel en el navegador del PC · Web (navegador) = app en el navegador · Móvil + Web = ambos a la vez · API / Terminal = Swagger o script.</t>
  </si>
  <si>
    <t xml:space="preserve">Solo incluye los casos pendientes del sprint (S3-IOT-01 a S3-IOT-07 ya se ejecutaron el 05/10 con resultado OK).</t>
  </si>
  <si>
    <t xml:space="preserve">Cada caso tiene su ficha de evidencia en el Word "Evidencias_QA_S3.docx" con el mismo ID.</t>
  </si>
  <si>
    <t xml:space="preserve">Orden sugerido de ejecución</t>
  </si>
  <si>
    <t xml:space="preserve">1. Panel web (admin)</t>
  </si>
  <si>
    <t xml:space="preserve">S3-UI-02 → S3-UI-03 → S3-UI-18 → S3-UI-15 → S3-UI-16 → S3-UI-17 → S3-DEF-04 (parte ticket)</t>
  </si>
  <si>
    <t xml:space="preserve">2. Celular (mmunoz / ivega)</t>
  </si>
  <si>
    <t xml:space="preserve">S3-UI-01 → S3-UI-04 → S3-UI-05 → S3-UI-13 → S3-UI-20 → S3-UI-07 (ivega) → S3-UI-06 → S3-UI-09 → S3-UI-08 → S3-UI-19 → S3-UI-10 → S3-UI-12 → S3-UI-11 → S3-MOV-01 → S3-VEN-01</t>
  </si>
  <si>
    <t xml:space="preserve">3. Celular + PC a la vez</t>
  </si>
  <si>
    <t xml:space="preserve">S3-UI-14 → S3-DEF-03 → S3-DEF-04 (parte reserva)</t>
  </si>
  <si>
    <t xml:space="preserve">4. Al final</t>
  </si>
  <si>
    <t xml:space="preserve">S3-IOT-08 (backend sin perfil mock) → S3-REG-01 (regresión con el backend de nuevo en mock)</t>
  </si>
  <si>
    <t xml:space="preserve">Datos de prueba (seed 02_insert.sql)</t>
  </si>
  <si>
    <t xml:space="preserve">Administrador</t>
  </si>
  <si>
    <t xml:space="preserve">csoto@duocuc.cl / admin123</t>
  </si>
  <si>
    <t xml:space="preserve">Usuario con bicicleta</t>
  </si>
  <si>
    <t xml:space="preserve">mmunoz@duocuc.cl / user123 — vehículo "Trek Marlin 5"</t>
  </si>
  <si>
    <t xml:space="preserve">Usuario con scooter</t>
  </si>
  <si>
    <t xml:space="preserve">ivega@duocuc.cl / user123 — vehículo "Xiaomi Mi Pro 2"</t>
  </si>
  <si>
    <t xml:space="preserve">Bahías</t>
  </si>
  <si>
    <t xml:space="preserve">RACK-BICI-01 (libre) · RACK-BICI-02 (fuera de servicio, ticket abierto) · RACK-SCOOT-01 (ocupada) · RACK-SCOOT-02 (reservada)</t>
  </si>
  <si>
    <t xml:space="preserve">QR de prueba</t>
  </si>
  <si>
    <t xml:space="preserve">frontend/qr-prueba/RACK-*.png y QR_racks_OmniDock.pdf</t>
  </si>
  <si>
    <t xml:space="preserve">Control de avance — Sprint 3</t>
  </si>
  <si>
    <t xml:space="preserve">Resumen</t>
  </si>
  <si>
    <t xml:space="preserve">Casos</t>
  </si>
  <si>
    <t xml:space="preserve">%</t>
  </si>
  <si>
    <t xml:space="preserve">OK</t>
  </si>
  <si>
    <t xml:space="preserve">NOK</t>
  </si>
  <si>
    <t xml:space="preserve">Pendiente</t>
  </si>
  <si>
    <t xml:space="preserve">Bloqueado</t>
  </si>
  <si>
    <t xml:space="preserve">Avance (ejecutados)</t>
  </si>
  <si>
    <t xml:space="preserve">Plataforma</t>
  </si>
  <si>
    <t xml:space="preserve">Móvil (app)</t>
  </si>
  <si>
    <t xml:space="preserve">Web (admin)</t>
  </si>
  <si>
    <t xml:space="preserve">Web (navegador)</t>
  </si>
  <si>
    <t xml:space="preserve">Móvil + Web</t>
  </si>
  <si>
    <t xml:space="preserve">API / Terminal</t>
  </si>
  <si>
    <t xml:space="preserve">Total</t>
  </si>
  <si>
    <t xml:space="preserve">Módulo</t>
  </si>
  <si>
    <t xml:space="preserve">RF-01 Autenticación</t>
  </si>
  <si>
    <t xml:space="preserve">RF-02 Asignación</t>
  </si>
  <si>
    <t xml:space="preserve">RF-03 Comunicación IoT</t>
  </si>
  <si>
    <t xml:space="preserve">RF-06 Consulta de Bahías Disponibles</t>
  </si>
  <si>
    <t xml:space="preserve">RF-07 Escaneo e Inicio de Sesión</t>
  </si>
  <si>
    <t xml:space="preserve">RF-08 Historial de Autogestión</t>
  </si>
  <si>
    <t xml:space="preserve">RF-09 Gestión y Monitoreo de Racks</t>
  </si>
  <si>
    <t xml:space="preserve">RF-10 Administración de Usuarios y Permisos</t>
  </si>
  <si>
    <t xml:space="preserve">RF-11 Embebimiento y Exposición de Dashboards</t>
  </si>
  <si>
    <t xml:space="preserve">Todos (regresión API)</t>
  </si>
  <si>
    <t xml:space="preserve">Se calcula sola a partir de la columna Resultado de la hoja "Identificación Casos".</t>
  </si>
  <si>
    <t xml:space="preserve">ID</t>
  </si>
  <si>
    <t xml:space="preserve">Historia</t>
  </si>
  <si>
    <t xml:space="preserve">Pre-condición</t>
  </si>
  <si>
    <t xml:space="preserve">Nombre de la prueba</t>
  </si>
  <si>
    <t xml:space="preserve">Paso a paso</t>
  </si>
  <si>
    <t xml:space="preserve">Tipo</t>
  </si>
  <si>
    <t xml:space="preserve">Resultado esperado</t>
  </si>
  <si>
    <t xml:space="preserve">Resultado obtenido</t>
  </si>
  <si>
    <t xml:space="preserve">Dato de prueba</t>
  </si>
  <si>
    <t xml:space="preserve">Módulo a probar</t>
  </si>
  <si>
    <t xml:space="preserve">Resultado</t>
  </si>
  <si>
    <t xml:space="preserve">Candidato a automatizar</t>
  </si>
  <si>
    <t xml:space="preserve">Observación</t>
  </si>
  <si>
    <t xml:space="preserve">Responsable ejecución</t>
  </si>
  <si>
    <t xml:space="preserve">Complejidad</t>
  </si>
  <si>
    <t xml:space="preserve">Fecha ejecución</t>
  </si>
  <si>
    <t xml:space="preserve">S3-UI-01</t>
  </si>
  <si>
    <t xml:space="preserve">HU-01</t>
  </si>
  <si>
    <t xml:space="preserve">-Backend levantado con perfil mock
-BD cargada con los scripts 00 a 03
-App instalada en el celular Android (apiUrl = IP del PC:8080)
-Usuario final vigente en la tabla USUARIO</t>
  </si>
  <si>
    <t xml:space="preserve">Validar inicio de sesión de usuario final con credenciales correctas</t>
  </si>
  <si>
    <t xml:space="preserve">-Abrir la app OmniDock en el celular
-Tocar "Ingresar mi cuenta institucional"
-Ingresar correo y contraseña del usuario
-Tocar "Ingresar"</t>
  </si>
  <si>
    <t xml:space="preserve">Funcional</t>
  </si>
  <si>
    <t xml:space="preserve">El sistema acepta las credenciales y entra a la app en Inicio (/app/bahias) con el saludo "Hola, Matias"</t>
  </si>
  <si>
    <t xml:space="preserve">Con mmunoz@duocuc.cl / user123 se entra a Inicio con el saludo "Hola, Matias" y el vehículo Trek Marlin 5</t>
  </si>
  <si>
    <t xml:space="preserve">Usuario: mmunoz@duocuc.cl / user123 (bicicleta 'Trek Marlin 5')</t>
  </si>
  <si>
    <t xml:space="preserve">SI</t>
  </si>
  <si>
    <t xml:space="preserve">Baja</t>
  </si>
  <si>
    <t xml:space="preserve">S3-UI-02</t>
  </si>
  <si>
    <t xml:space="preserve">-Backend levantado con perfil mock
-BD cargada con los scripts 00 a 03
-Frontend en el navegador del PC (http://localhost:8100)
-Administrador vigente en la tabla USUARIO</t>
  </si>
  <si>
    <t xml:space="preserve">Validar inicio de sesión de administrador con credenciales correctas</t>
  </si>
  <si>
    <t xml:space="preserve">-Abrir http://localhost:8100 en el navegador del PC
-Hacer click en "Ingresar mi cuenta institucional"
-Ingresar correo y contraseña del administrador
-Hacer click en "Ingresar"</t>
  </si>
  <si>
    <t xml:space="preserve">El sistema acepta las credenciales y entra al panel (/admin/racks) con el menú Racks, Tickets, Usuarios y Analítica</t>
  </si>
  <si>
    <t xml:space="preserve">Admin: csoto@duocuc.cl / admin123</t>
  </si>
  <si>
    <t xml:space="preserve">S3-UI-03</t>
  </si>
  <si>
    <t xml:space="preserve">RNF Seguridad</t>
  </si>
  <si>
    <t xml:space="preserve">-Backend levantado con perfil mock
-BD cargada con los scripts 00 a 03
-Frontend en el navegador del PC (http://localhost:8100)</t>
  </si>
  <si>
    <t xml:space="preserve">Validar que un usuario final no puede entrar al panel escribiendo la ruta /admin</t>
  </si>
  <si>
    <t xml:space="preserve">-Iniciar sesión en http://localhost:8100 con el usuario final
-En la barra de direcciones escribir http://localhost:8100/admin y presionar Enter
-Probar también http://localhost:8100/admin/usuarios</t>
  </si>
  <si>
    <t xml:space="preserve">No Funcional</t>
  </si>
  <si>
    <t xml:space="preserve">El sistema no muestra el panel: redirige al Inicio de la app (/app/bahias)</t>
  </si>
  <si>
    <t xml:space="preserve">Al escribir /admin y /admin/usuarios el sistema no muestra el panel: el usuario queda en el Inicio de la app (/app/bahias)</t>
  </si>
  <si>
    <t xml:space="preserve">Se hace en el navegador porque la app del celular no tiene barra de direcciones</t>
  </si>
  <si>
    <t xml:space="preserve">S3-UI-04</t>
  </si>
  <si>
    <t xml:space="preserve">-Backend levantado con perfil mock
-BD cargada con los scripts 00 a 03
-App instalada en el celular Android (apiUrl = IP del PC:8080)</t>
  </si>
  <si>
    <t xml:space="preserve">Validar indicación de error al iniciar sesión con credenciales incorrectas</t>
  </si>
  <si>
    <t xml:space="preserve">-Abrir la app OmniDock en el celular
-Tocar "Ingresar mi cuenta institucional"
-Ingresar el correo correcto y una contraseña incorrecta
-Tocar "Ingresar"</t>
  </si>
  <si>
    <t xml:space="preserve">Se muestra un mensaje claro de error de inicio de sesión. No se entra a la app</t>
  </si>
  <si>
    <t xml:space="preserve">Con mmunoz@duocuc.cl y contraseña incorrecta aparece el aviso rojo "Credenciales inválidas" y no se entra a la app</t>
  </si>
  <si>
    <t xml:space="preserve">Usuario: mmunoz@duocuc.cl - contraseña: mala123</t>
  </si>
  <si>
    <t xml:space="preserve">S3-UI-05</t>
  </si>
  <si>
    <t xml:space="preserve">HU-06</t>
  </si>
  <si>
    <t xml:space="preserve">-Backend levantado con perfil mock
-BD cargada con los scripts 00 a 03
-App instalada en el celular Android (apiUrl = IP del PC:8080)
-Sesión iniciada con el usuario final</t>
  </si>
  <si>
    <t xml:space="preserve">Validar la vista de bahías agrupadas por ubicación en Inicio</t>
  </si>
  <si>
    <t xml:space="preserve">-Ir a la pestaña "Inicio"
-Revisar los grupos por ubicación y la cantidad de bahías libres de cada uno
-Escribir "patio" en "Buscar sede o edificio"
-Deslizar hacia abajo para refrescar</t>
  </si>
  <si>
    <t xml:space="preserve">Se ven las bahías agrupadas por ubicación (Acceso Norte, Patio Central) con su estado y la cantidad de libres. El buscador filtra y se muestra "Disponibilidad actualizada hace N s"</t>
  </si>
  <si>
    <t xml:space="preserve">Las bahías se agrupan por sede (Acceso Norte: 1 libre; Patio Central: 1 libre) con su estado. Al buscar "Patio" solo queda Patio Central; al borrar vuelven todas. Se muestra "Disponibilidad actualizada hace N s"</t>
  </si>
  <si>
    <t xml:space="preserve">NO</t>
  </si>
  <si>
    <t xml:space="preserve">S3-UI-06</t>
  </si>
  <si>
    <t xml:space="preserve">HU-02, HU-06</t>
  </si>
  <si>
    <t xml:space="preserve">-Backend levantado con perfil mock
-BD cargada con los scripts 00 a 03
-App instalada en el celular Android (apiUrl = IP del PC:8080)
-Sesión iniciada con el usuario final
-RACK-BICI-01 en estado Disponible
-El usuario no tiene otra reserva pendiente</t>
  </si>
  <si>
    <t xml:space="preserve">Validar reserva con vehículo compatible desde el detalle de reserva</t>
  </si>
  <si>
    <t xml:space="preserve">-En Inicio, tocar "Bahía RACK-BICI-01"
-En "Detalle de reserva" verificar que el vehículo es "Trek Marlin 5"
-Tocar "Reservar bahía"</t>
  </si>
  <si>
    <t xml:space="preserve">Mensaje "Reserva creada". La pantalla Escanear muestra "Reserva pendiente", la hora en "Reserva válida hasta" y la cuenta regresiva en "Tiempo restante"</t>
  </si>
  <si>
    <t xml:space="preserve">Con mmunoz y Trek Marlin 5 se reserva RACK-BICI-01: aparece "Reserva creada" y la pantalla Mi estacionamiento muestra "Reserva pendiente", "Reserva válida hasta 16:18" y "Tiempo restante 14:58"</t>
  </si>
  <si>
    <t xml:space="preserve">Usuario: mmunoz@duocuc.cl / user123 (bicicleta 'Trek Marlin 5'); bahía RACK-BICI-01</t>
  </si>
  <si>
    <t xml:space="preserve">Media</t>
  </si>
  <si>
    <t xml:space="preserve">S3-UI-07</t>
  </si>
  <si>
    <t xml:space="preserve">HU-02</t>
  </si>
  <si>
    <t xml:space="preserve">-Backend levantado con perfil mock
-BD cargada con los scripts 00 a 03
-App instalada en el celular Android (apiUrl = IP del PC:8080)
-Sesión iniciada con un usuario que solo tiene scooter
-RACK-BICI-01 Disponible</t>
  </si>
  <si>
    <t xml:space="preserve">Validar que no se puede reservar una bahía incompatible con el vehículo</t>
  </si>
  <si>
    <t xml:space="preserve">-En Inicio, tocar "Bahía RACK-BICI-01" (bicicletero)
-Verificar el texto "No tienes un vehículo compatible con esta bahía"
-Tocar "Reservar bahía"</t>
  </si>
  <si>
    <t xml:space="preserve">Aviso superior: "Esta bahía es para bicicleta. Registra un vehículo compatible en la pestaña Vehículos." No se crea la reserva</t>
  </si>
  <si>
    <t xml:space="preserve">Con ivega (solo scooter Xiaomi Mi Pro 2) el detalle de RACK-BICI-01 muestra "No tienes un vehículo compatible con esta bahía". Al tocar Reservar bahía aparece el aviso superior "Esta bahía es para bicicleta. Registra un vehículo compatible en la pestaña Vehículos." y no se crea la reserva</t>
  </si>
  <si>
    <t xml:space="preserve">Usuario: ivega@duocuc.cl / user123 (scooter 'Xiaomi Mi Pro 2'); bahía RACK-BICI-01</t>
  </si>
  <si>
    <t xml:space="preserve">S3-UI-08</t>
  </si>
  <si>
    <t xml:space="preserve">HU-07</t>
  </si>
  <si>
    <t xml:space="preserve">-Backend levantado con perfil mock
-BD cargada con los scripts 00 a 03
-App instalada en el celular Android (apiUrl = IP del PC:8080)
-Reserva pendiente en RACK-BICI-01 (S3-UI-06)</t>
  </si>
  <si>
    <t xml:space="preserve">Validar check-in con el código del rack reservado</t>
  </si>
  <si>
    <t xml:space="preserve">-Ir a la pestaña "Escanear"
-Tocar "Ingresar código" y escribir RACK-BICI-01 (o "Iniciar con QR" y escanear RACK-BICI-01.png)
-Confirmar</t>
  </si>
  <si>
    <t xml:space="preserve">Mensaje "Sesión iniciada: candado liberado". Se ve "Sesión activa" con la bahía RACK-BICI-01 y el reloj "Tiempo de uso" avanzando</t>
  </si>
  <si>
    <t xml:space="preserve">Con el código de RACK-BICI-01 aparece "Sesión iniciada: candado liberado" y la pantalla Sesión activa muestra la bahía RACK-BICI-01, Tiempo de uso desde 16:10 y "Confirmación IoT: apertura recibida"</t>
  </si>
  <si>
    <t xml:space="preserve">Código RACK-BICI-01</t>
  </si>
  <si>
    <t xml:space="preserve">S3-UI-09</t>
  </si>
  <si>
    <t xml:space="preserve">-Backend levantado con perfil mock
-BD cargada con los scripts 00 a 03
-App instalada en el celular Android (apiUrl = IP del PC:8080)
-Reserva pendiente en RACK-BICI-01</t>
  </si>
  <si>
    <t xml:space="preserve">Validar error de check-in con el código de otro rack o uno inexistente</t>
  </si>
  <si>
    <t xml:space="preserve">-Ir a "Escanear" &gt; "Ingresar código" y escribir RACK-BICI-02
-Repetir con el código RACK-XXX-99</t>
  </si>
  <si>
    <t xml:space="preserve">Con RACK-BICI-02: "Ese QR es de RACK-BICI-02. Tu reserva es para RACK-BICI-01." Con RACK-XXX-99: "QR no válido: la bahía no existe". La reserva sigue pendiente</t>
  </si>
  <si>
    <t xml:space="preserve">Al escanear con la cámara el QR de RACK-BICI-02 aparece "Ese QR es de RACK-BICI-02. Tu reserva es para RACK-BICI-01." y la reserva sigue pendiente</t>
  </si>
  <si>
    <t xml:space="preserve">Códigos RACK-BICI-02 y RACK-XXX-99</t>
  </si>
  <si>
    <t xml:space="preserve">Se usó el escáner de cámara (QR en pantalla del PC). La variante con código inexistente (RACK-XXX-99) no quedó en las capturas</t>
  </si>
  <si>
    <t xml:space="preserve">S3-UI-10</t>
  </si>
  <si>
    <t xml:space="preserve">-Backend levantado con perfil mock
-BD cargada con los scripts 00 a 03
-App instalada en el celular Android (apiUrl = IP del PC:8080)
-Sesión activa en RACK-BICI-01 (S3-UI-08)</t>
  </si>
  <si>
    <t xml:space="preserve">Validar el retiro escaneando el código del rack</t>
  </si>
  <si>
    <t xml:space="preserve">-En "Sesión activa" tocar "Ingresar código" (o "Escanear para retirar")
-Escribir/escanear RACK-BICI-01</t>
  </si>
  <si>
    <t xml:space="preserve">Se muestra "Retiro confirmado" y el "Resumen de tu viaje" (inicio, fin, permanencia). RACK-BICI-01 vuelve a Disponible en Inicio</t>
  </si>
  <si>
    <t xml:space="preserve">Al escanear RACK-BICI-01 aparece "Retiro confirmado" / "Sesión finalizada" con el Resumen de tu viaje (inicio 16:10, fin 16:14, permanencia 3 min, Trek Marlin 5) y el aviso "El dispositivo confirmó la apertura y el retiro". La bahía vuelve a estar disponible</t>
  </si>
  <si>
    <t xml:space="preserve">S3-UI-19</t>
  </si>
  <si>
    <t xml:space="preserve">-Backend levantado con perfil mock
-BD cargada con los scripts 00 a 03
-App instalada en el celular Android (apiUrl = IP del PC:8080)
-Sesión activa en RACK-BICI-01</t>
  </si>
  <si>
    <t xml:space="preserve">Validar error de retiro con el código de otro rack</t>
  </si>
  <si>
    <t xml:space="preserve">-En "Sesión activa" tocar "Ingresar código"
-Escribir RACK-SCOOT-01</t>
  </si>
  <si>
    <t xml:space="preserve">Mensaje "Ese QR es de RACK-SCOOT-01. Tu sesión está en RACK-BICI-01." La sesión sigue activa</t>
  </si>
  <si>
    <t xml:space="preserve">Al escanear con la cámara el QR de RACK-SCOOT-01 aparece "Ese QR es de RACK-SCOOT-01. Tu sesión está en RACK-BICI-01." y la sesión sigue activa (tiempo de uso 00:03:23)</t>
  </si>
  <si>
    <t xml:space="preserve">Código RACK-SCOOT-01</t>
  </si>
  <si>
    <t xml:space="preserve">Se usó el escáner de cámara (QR en pantalla del PC)</t>
  </si>
  <si>
    <t xml:space="preserve">S3-UI-11</t>
  </si>
  <si>
    <t xml:space="preserve">-Backend levantado con perfil mock
-BD cargada con los scripts 00 a 03
-App instalada en el celular Android (apiUrl = IP del PC:8080)
-Reserva pendiente nueva en RACK-BICI-01</t>
  </si>
  <si>
    <t xml:space="preserve">Validar la cancelación de una reserva</t>
  </si>
  <si>
    <t xml:space="preserve">-Ir a "Escanear"
-Tocar "Cancelar reserva"
-Confirmar en el diálogo "Cancelar reserva"</t>
  </si>
  <si>
    <t xml:space="preserve">Mensaje "Reserva cancelada". La pantalla queda sin reserva y RACK-BICI-01 vuelve a Disponible</t>
  </si>
  <si>
    <t xml:space="preserve">Con la reserva pendiente en RACK-BICI-01 (válida hasta 16:33) se toca Cancelar reserva y se confirma. Aparece "Reserva cancelada", la pantalla queda sin reserva y RACK-BICI-01 vuelve a Disponible en Inicio</t>
  </si>
  <si>
    <t xml:space="preserve">S3-UI-12</t>
  </si>
  <si>
    <t xml:space="preserve">HU-08</t>
  </si>
  <si>
    <t xml:space="preserve">-Backend levantado con perfil mock
-BD cargada con los scripts 00 a 03
-App instalada en el celular Android (apiUrl = IP del PC:8080)
-Uso finalizado (S3-UI-10)</t>
  </si>
  <si>
    <t xml:space="preserve">Validar el historial después de un uso</t>
  </si>
  <si>
    <t xml:space="preserve">-Ir a la pestaña "Historial"
-Revisar el primer movimiento de "Movimientos recientes"</t>
  </si>
  <si>
    <t xml:space="preserve">Aparece el uso con fecha y hora de inicio-fin, "Sede Maipu - Acceso Norte · RACK-BICI-01", la duración y el vehículo</t>
  </si>
  <si>
    <t xml:space="preserve">Historial muestra primero "Hoy · 16:10-16:14 · Sede Maipu - Acceso Norte · RACK-BICI-01 · 3 min · Trek Marlin 5" y "Este mes: 1 estacionamiento", seguido de los usos anteriores</t>
  </si>
  <si>
    <t xml:space="preserve">S3-UI-13</t>
  </si>
  <si>
    <t xml:space="preserve">HU-02, HU-04</t>
  </si>
  <si>
    <t xml:space="preserve">Validar registro y desactivación de un vehículo</t>
  </si>
  <si>
    <t xml:space="preserve">-Ir a la pestaña "Vehículos" y tocar "Registrar vehículo"
-Elegir tipo Scooter y nombre "QA Scooter Prueba"
-Tocar "Guardar vehículo"
-En la tarjeta nueva tocar "Desactivar" y confirmar</t>
  </si>
  <si>
    <t xml:space="preserve">Mensaje "Vehículo registrado" y aparece en la lista. Al desactivar: "Vehículo desactivado" y desaparece de la lista</t>
  </si>
  <si>
    <t xml:space="preserve">Al guardar el scooter "Testing" aparece "Vehículo registrado" y se agrega a la lista. Al desactivarlo (confirmación "¿Desactivar 'Testing'? Tu historial se conserva.") aparece "Vehículo desactivado" y desaparece de la lista</t>
  </si>
  <si>
    <t xml:space="preserve">Tipo: Scooter - Nombre: Testing</t>
  </si>
  <si>
    <t xml:space="preserve">S3-UI-20</t>
  </si>
  <si>
    <t xml:space="preserve">-Backend levantado con perfil mock
-BD cargada con los scripts 00 a 03
-App instalada en el celular Android (apiUrl = IP del PC:8080)
-El usuario tiene al menos dos vehículos activos</t>
  </si>
  <si>
    <t xml:space="preserve">Validar el cambio de vehículo seleccionado</t>
  </si>
  <si>
    <t xml:space="preserve">-Ir a "Vehículos" y registrar una segunda bicicleta "QA Bici 2"
-Tocar "Seleccionar" en "QA Bici 2"
-Volver a Inicio y revisar la tarjeta del vehículo
-Abrir RACK-BICI-01 y revisar "Vehículo para esta reserva"</t>
  </si>
  <si>
    <t xml:space="preserve">Mensaje "QA Bici 2 quedó seleccionado". Inicio y el detalle de reserva muestran "QA Bici 2"</t>
  </si>
  <si>
    <t xml:space="preserve">Se registra "Test Bici" y al tocar Seleccionar aparece "Test Bici quedó seleccionado". Inicio muestra "Test Bici · Cambiar vehículo" y el detalle de reserva de RACK-BICI-01 propone "Test Bici" como vehículo</t>
  </si>
  <si>
    <t xml:space="preserve">Usuario: mmunoz@duocuc.cl / user123; segunda bicicleta "Test Bici"</t>
  </si>
  <si>
    <t xml:space="preserve">Al terminar, desactivar "QA Bici 2"</t>
  </si>
  <si>
    <t xml:space="preserve">S3-UI-14</t>
  </si>
  <si>
    <t xml:space="preserve">HU-09, RNF Rendimiento</t>
  </si>
  <si>
    <t xml:space="preserve">-Backend levantado con perfil mock
-BD cargada con los scripts 00 a 03
-App instalada en el celular y panel web abierto en http://localhost:8100
-Admin con sesión en /admin/racks
-RACK-BICI-01 Disponible</t>
  </si>
  <si>
    <t xml:space="preserve">Validar que el panel refleja una reserva de la app en 3 segundos o menos</t>
  </si>
  <si>
    <t xml:space="preserve">-En el PC, dejar abierta la vista Racks del panel
-En el celular, reservar RACK-BICI-01
-Cronometrar desde que aparece "Reserva creada" hasta que el panel muestra RACK-BICI-01 como Reservada</t>
  </si>
  <si>
    <t xml:space="preserve">El panel cambia RACK-BICI-01 a Reservada en 3 segundos o menos (el panel se refresca cada 3 s)</t>
  </si>
  <si>
    <t xml:space="preserve">Con el panel de racks y la app abiertos lado a lado, tras "Reserva creada" el panel cambia RACK-BICI-01 de Disponible a Reservada (actualizado 16:25:05 → 16:25:08). Cronómetro manual: el cambio se ve entre 2,48 s y 3,61 s</t>
  </si>
  <si>
    <t xml:space="preserve">Admin: csoto@duocuc.cl / admin123; Usuario: mmunoz@duocuc.cl / user123 (bicicleta 'Trek Marlin 5')</t>
  </si>
  <si>
    <t xml:space="preserve">Ejecutado con la app y el panel en dos ventanas del navegador del PC. El cronómetro es manual (incluye el tiempo de reacción); el panel se refresca cada 3 s</t>
  </si>
  <si>
    <t xml:space="preserve">S3-UI-15</t>
  </si>
  <si>
    <t xml:space="preserve">HU-09</t>
  </si>
  <si>
    <t xml:space="preserve">-Backend levantado con perfil mock
-BD cargada con los scripts 00 a 03
-App instalada en el celular y panel web abierto en http://localhost:8100
-RACK-BICI-01 Disponible y sin reservas</t>
  </si>
  <si>
    <t xml:space="preserve">Validar marcar una bahía fuera de servicio y devolverla a disponible</t>
  </si>
  <si>
    <t xml:space="preserve">-En Racks, abrir el menú (⋮) de RACK-BICI-01
-Elegir "Marcar fuera de servicio"
-Revisar el estado en el panel y en la app
-Abrir de nuevo el menú y elegir "Marcar disponible"</t>
  </si>
  <si>
    <t xml:space="preserve">Mensaje "Estado actualizado" en cada cambio. El estado cambia en el panel y en Inicio de la app (Fuera de servicio y luego Disponible)</t>
  </si>
  <si>
    <t xml:space="preserve">Al marcar RACK-BICI-01 fuera de servicio aparece "Estado actualizado" y el panel y la app (celular) la muestran Fuera de servicio. Al marcarla disponible vuelve a Disponible en ambos</t>
  </si>
  <si>
    <t xml:space="preserve">Admin: csoto@duocuc.cl / admin123; bahía RACK-BICI-01</t>
  </si>
  <si>
    <t xml:space="preserve">Panel en el PC y app en el celular de forma simultánea</t>
  </si>
  <si>
    <t xml:space="preserve">S3-UI-16</t>
  </si>
  <si>
    <t xml:space="preserve">-Backend levantado con perfil mock
-BD cargada con los scripts 00 a 03
-Frontend en el navegador del PC (http://localhost:8100)
-Admin con sesión iniciada
-RACK-BICI-01 Disponible</t>
  </si>
  <si>
    <t xml:space="preserve">Validar la creación y resolución de un ticket de mantención</t>
  </si>
  <si>
    <t xml:space="preserve">-Ir a "Tickets" y hacer click en "Nuevo ticket"
-Elegir el rack RACK-BICI-01 y escribir "QA: candado no responde"
-Hacer click en "Crear ticket"
-Revisar en Racks que RACK-BICI-01 quedó Fuera de servicio
-Volver a Tickets, abrir el menú (⋮) del ticket y elegir "Pasar a Resuelto"</t>
  </si>
  <si>
    <t xml:space="preserve">Mensaje "Ticket creado" y la bahía queda Fuera de servicio. Al resolver: "Ticket actualizado", el ticket tiene fecha de resolución y la bahía vuelve a Disponible</t>
  </si>
  <si>
    <t xml:space="preserve">Se crea el ticket #0015 sobre RACK-BICI-01 ("Ticket creado") y la bahía queda Fuera de servicio en el panel y en la app. Al pasarlo a Resuelto ("Ticket actualizado") queda con fecha de resolución 14 oct 2026 15:41 y la bahía vuelve a Disponible</t>
  </si>
  <si>
    <t xml:space="preserve">Rack RACK-BICI-01; descripción "QA: candado no responde"</t>
  </si>
  <si>
    <t xml:space="preserve">Ticket de prueba #0015</t>
  </si>
  <si>
    <t xml:space="preserve">S3-UI-17</t>
  </si>
  <si>
    <t xml:space="preserve">HU-10</t>
  </si>
  <si>
    <t xml:space="preserve">-Backend levantado con perfil mock
-BD cargada con los scripts 00 a 03
-Frontend en el navegador del PC (http://localhost:8100)
-Admin con sesión iniciada</t>
  </si>
  <si>
    <t xml:space="preserve">Validar creación de usuario, cambio de rol y bloqueo</t>
  </si>
  <si>
    <t xml:space="preserve">-Ir a "Usuarios" y hacer click en el botón de nuevo usuario
-Completar RUT, nombre, correo, contraseña temporal y rol Usuario; click en "Crear usuario"
-En el menú (⋮) del usuario nuevo elegir "Cambiar rol a Colaborador"
-En el mismo menú elegir "Bloquear acceso"
-Cerrar sesión e intentar entrar con el usuario bloqueado</t>
  </si>
  <si>
    <t xml:space="preserve">Mensajes "Usuario creado", "Rol actualizado" y "Usuario bloqueado". El usuario bloqueado no puede iniciar sesión</t>
  </si>
  <si>
    <t xml:space="preserve">Se crea el usuario "testing" ("Usuario creado", 21 usuarios). Se cambia a Colaborador ("Rol actualizado") y se bloquea ("Usuario bloqueado", estado Bloqueado). Al intentar iniciar sesión con ese usuario aparece "Usuario bloqueado: acceso denegado" y no entra</t>
  </si>
  <si>
    <t xml:space="preserve">RUT 12345678-9; nombre "testing"; correo test.s3@duocucl.cl; rol inicial Usuario</t>
  </si>
  <si>
    <t xml:space="preserve">Se usaron datos distintos a los planificados (ver Dato de prueba). El usuario de prueba queda bloqueado</t>
  </si>
  <si>
    <t xml:space="preserve">S3-UI-18</t>
  </si>
  <si>
    <t xml:space="preserve">HU-11</t>
  </si>
  <si>
    <t xml:space="preserve">-Backend levantado con perfil mock
-BD cargada con los scripts 00 a 03
-Frontend en el navegador del PC (http://localhost:8100)
-Admin con sesión iniciada
-Variables PBI_* sin configurar</t>
  </si>
  <si>
    <t xml:space="preserve">Validar la analítica sin Power BI configurado</t>
  </si>
  <si>
    <t xml:space="preserve">-Hacer click en "Analítica" en el menú
-Esperar a que cargue la vista</t>
  </si>
  <si>
    <t xml:space="preserve">Se ven los indicadores calculados con la API y, en lugar del reporte, un mensaje claro con el botón "Reintentar". No queda la pantalla en blanco</t>
  </si>
  <si>
    <t xml:space="preserve">Se ven los indicadores (25% ocupación, 20 usuarios vigentes, 3 bahías operativas) y el mensaje "Power BI no configurado (PBI_EMBED_URL)" con el botón Reintentar. Sin pantalla en blanco</t>
  </si>
  <si>
    <t xml:space="preserve">S3-MOV-01</t>
  </si>
  <si>
    <t xml:space="preserve">-Backend levantado con perfil mock
-BD cargada con los scripts 00 a 03
-App instalada en el celular Android (apiUrl = IP del PC:8080)
-Reserva pendiente en RACK-BICI-01
-QR RACK-BICI-01.png impreso o abierto en la pantalla del PC (frontend/qr-prueba)</t>
  </si>
  <si>
    <t xml:space="preserve">Validar check-in escaneando un QR real con la cámara del celular</t>
  </si>
  <si>
    <t xml:space="preserve">-Ir a "Escanear" y tocar "Iniciar con QR"
-Si aparece "Preparando el escáner (solo la primera vez)…", esperar
-Apuntar la cámara al QR de RACK-BICI-01</t>
  </si>
  <si>
    <t xml:space="preserve">El escáner lee el QR y se muestra "Sesión iniciada: candado liberado" con la sesión activa en RACK-BICI-01</t>
  </si>
  <si>
    <t xml:space="preserve">El escáner nativo ("Escaneo de Google en nombre de OmniDock") abre la cámara del celular y lee el QR real mostrado en la pantalla del PC. El check-in en RACK-BICI-01 queda con "Sesión iniciada: candado liberado"</t>
  </si>
  <si>
    <t xml:space="preserve">QR con el texto RACK-BICI-01</t>
  </si>
  <si>
    <t xml:space="preserve">Evidencia compartida con S3-UI-09 (lectura de cámara) y S3-UI-08 (sesión iniciada)</t>
  </si>
  <si>
    <t xml:space="preserve">S3-IOT-08</t>
  </si>
  <si>
    <t xml:space="preserve">HU-03</t>
  </si>
  <si>
    <t xml:space="preserve">-Backend levantado SIN el perfil mock (mvn spring-boot:run)
-BD cargada con los scripts 00 a 03
-App instalada en el celular Android (apiUrl = IP del PC:8080)
-Reserva pendiente en RACK-BICI-01</t>
  </si>
  <si>
    <t xml:space="preserve">Validar check-in con el simulador IoT detenido</t>
  </si>
  <si>
    <t xml:space="preserve">-Reservar RACK-BICI-01 en la app
-Ir a "Escanear" &gt; "Ingresar código" y escribir RACK-BICI-01
-Revisar que la reserva sigue pendiente y la bahía sigue Reservada</t>
  </si>
  <si>
    <t xml:space="preserve">Mensaje "No se pudo iniciar la sesión" (la API responde 502). No se crea la sesión: la reserva sigue pendiente y la bahía no cambia</t>
  </si>
  <si>
    <t xml:space="preserve">Con el backend levantado sin el perfil mock, se reserva RACK-BICI-01 (válida hasta 17:05). Al intentar el check-in aparece "No se pudo comunicar con el dispositivo IoT" (502). La reserva sigue pendiente en la app y el panel sigue mostrando RACK-BICI-01 como Reservada (16:51:54): no cambia nada en la base</t>
  </si>
  <si>
    <t xml:space="preserve">Backend iniciado quitando SPRING_PROFILES_ACTIVE=mock. El mensaje real de la app es "No se pudo comunicar con el dispositivo IoT"</t>
  </si>
  <si>
    <t xml:space="preserve">Alta</t>
  </si>
  <si>
    <t xml:space="preserve">S3-VEN-01</t>
  </si>
  <si>
    <t xml:space="preserve">-Backend levantado con perfil mock
-BD cargada con los scripts 00 a 03
-App instalada en el celular Android (apiUrl = IP del PC:8080)
-RESERVA_MINUTOS del backend igual a reservaMinutos de la app (15)</t>
  </si>
  <si>
    <t xml:space="preserve">Validar la expiración de la reserva con la ventana definida</t>
  </si>
  <si>
    <t xml:space="preserve">-En el detalle de RACK-BICI-01 revisar el texto "Tendrás N minutos para llegar y escanear"
-Tocar "Reservar bahía" y anotar la hora de "Reserva válida hasta"
-Esperar la ventana completa sin hacer check-in (~16 min)
-Refrescar Escanear e Inicio</t>
  </si>
  <si>
    <t xml:space="preserve">La app muestra 15 minutos y la hora de vencimiento = hora de reserva + 15 min. Al vencer, la reserva desaparece y RACK-BICI-01 vuelve a Disponible</t>
  </si>
  <si>
    <t xml:space="preserve">La app indica "Tendrás 15 minutos para llegar y escanear". La reserva creada a las 16:25 muestra "Reserva válida hasta 16:40"; a las 16:40 el tiempo restante llega a 00:00 y al refrescar la reserva desaparece ("No tienes una reserva ni una sesión activa") y RACK-BICI-01 vuelve a Disponible</t>
  </si>
  <si>
    <t xml:space="preserve">Ventana: 15 minutos</t>
  </si>
  <si>
    <t xml:space="preserve">Reserva usada: la creada en S3-UI-14</t>
  </si>
  <si>
    <t xml:space="preserve">S3-DEF-03</t>
  </si>
  <si>
    <t xml:space="preserve">-Backend levantado con perfil mock
-BD cargada con los scripts 00 a 03
-App instalada en el celular y panel web abierto en http://localhost:8100
-Usuario final con sesión iniciada en el celular
-Admin con sesión en /admin/usuarios</t>
  </si>
  <si>
    <t xml:space="preserve">Validar que un usuario bloqueado no puede seguir usando su token anterior</t>
  </si>
  <si>
    <t xml:space="preserve">-En el celular, iniciar sesión con el usuario final y dejar la app en Inicio
-En el panel, abrir el menú (⋮) de ese usuario y elegir "Bloquear acceso"
-En el celular, deslizar Inicio hacia abajo para refrescar (o cambiar de pestaña)
-Al terminar, en el panel elegir "Habilitar acceso"</t>
  </si>
  <si>
    <t xml:space="preserve">La API responde 401 al token anterior y la app cierra la sesión y vuelve al login</t>
  </si>
  <si>
    <t xml:space="preserve">Con ivega con sesión abierta en el celular, el admin elige "Bloquear acceso" ("Usuario bloqueado", estado Bloqueado). Apenas se bloquea, la app pierde la sesión y vuelve al login (la API rechaza el token anterior con 401). Al intentar entrar de nuevo aparece "Usuario bloqueado: acceso denegado"</t>
  </si>
  <si>
    <t xml:space="preserve">Admin: csoto@duocuc.cl / admin123; Usuario: ivega@duocuc.cl / user123 (sesión abierta en el celular)</t>
  </si>
  <si>
    <t xml:space="preserve">Se usó ivega en lugar de mmunoz para no afectar la reserva de S3-VEN-01. Valida el arreglo de DEF-03 del backend nuevo</t>
  </si>
  <si>
    <t xml:space="preserve">S3-DEF-04</t>
  </si>
  <si>
    <t xml:space="preserve">-Backend levantado con perfil mock
-BD cargada con los scripts 00 a 03
-Frontend en el navegador del PC (http://localhost:8100)
-RACK-BICI-02 Fuera de servicio con ticket abierto (dato inicial)
-Admin con sesión iniciada</t>
  </si>
  <si>
    <t xml:space="preserve">Validar que no se puede dejar DISPONIBLE una bahía con ticket o reserva vigente</t>
  </si>
  <si>
    <t xml:space="preserve">-En Racks, abrir el menú (⋮) de RACK-BICI-02 y elegir "Marcar disponible"
-Caso reserva: reservar RACK-BICI-01 desde la app y en Swagger enviar PUT /api/v1/bahias/1 con {"idEstado": 1} usando el token del admin</t>
  </si>
  <si>
    <t xml:space="preserve">Ticket: se rechaza con "La bahía tiene un ticket de mantención abierto; resuélvelo antes de dejarla disponible". Reserva: 409 "La bahía tiene una reserva pendiente; cancélala antes de dejarla disponible"</t>
  </si>
  <si>
    <t xml:space="preserve">Al elegir "Marcar disponible" en RACK-BICI-02 (ticket abierto) el sistema rechaza el cambio con "La bahía tiene un ticket de mantención abierto; resuélvelo antes de dejarla disponible". La bahía sigue Fuera de servicio</t>
  </si>
  <si>
    <t xml:space="preserve">Admin: csoto@duocuc.cl / admin123; bahías RACK-BICI-02 y RACK-BICI-01</t>
  </si>
  <si>
    <t xml:space="preserve">Validado con la regla del ticket abierto desde el panel. La variante con reserva pendiente (PUT por Swagger) no se ejecutó</t>
  </si>
  <si>
    <t xml:space="preserve">S3-REG-01</t>
  </si>
  <si>
    <t xml:space="preserve">Todas</t>
  </si>
  <si>
    <t xml:space="preserve">-Backend levantado con perfil mock
-BD cargada con los scripts 00 a 03</t>
  </si>
  <si>
    <t xml:space="preserve">Ejecutar la regresión de la API</t>
  </si>
  <si>
    <t xml:space="preserve">-Desde Capstone/omnidock ejecutar: python backend/pruebas/regresion_api.py --ejecutor "Carlos Román"
-Revisar el resumen en pantalla y el reporte en docs/qa/</t>
  </si>
  <si>
    <t xml:space="preserve">Pasan todos los casos salvo los defectos conocidos</t>
  </si>
  <si>
    <t xml:space="preserve">Corrida del 14/10/2026 16:58 con el backend nuevo y simulador mock: 97 casos, 95 pasan, 0 fallan, 2 omitidos/no aplican (S2-RES-13 requiere --esperar-expiracion; S4-ANA-01 Power BI no configurado). S2-USR-08 (DEF-03) ahora pasa con 401. Respuesta más lenta: 133 ms (límite ERS 2000 ms)</t>
  </si>
  <si>
    <t xml:space="preserve">97 casos en 11 módulos</t>
  </si>
  <si>
    <t xml:space="preserve">Se quitó S2-USR-08 de DEFECTOS_CONOCIDOS. Reporte: docs/qa/regresion_api_2026-10-14_1658.md. Antes (05/10): 94 de 97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</si>
</sst>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F6B4F"/>
      <name val="Calibri"/>
      <family val="0"/>
      <charset val="1"/>
    </font>
    <font>
      <b val="true"/>
      <sz val="14"/>
      <color rgb="FF40404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3"/>
      <color rgb="FF2F6B4F"/>
      <name val="Calibri"/>
      <family val="0"/>
      <charset val="1"/>
    </font>
    <font>
      <b val="true"/>
      <sz val="16"/>
      <color rgb="FF2F6B4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2F6B4F"/>
        <bgColor rgb="FF008080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F6B4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404040"/>
      </font>
      <fill>
        <patternFill>
          <bgColor rgb="FFD9D9D9"/>
        </patternFill>
      </fill>
    </dxf>
    <dxf>
      <fill>
        <patternFill>
          <bgColor rgb="FFDDEBF7"/>
        </patternFill>
      </fill>
    </dxf>
    <dxf>
      <fill>
        <patternFill>
          <bgColor rgb="FFE4DFEC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F6B4F"/>
      <rgbColor rgb="FFE4DFEC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1" displayName="Tabla_1" ref="A1:Q27" headerRowCount="1" totalsRowCount="0" totalsRowShown="0">
  <autoFilter ref="A1:Q27"/>
  <tableColumns count="17">
    <tableColumn id="1" name="ID"/>
    <tableColumn id="2" name="Historia"/>
    <tableColumn id="3" name="Pre-condición"/>
    <tableColumn id="4" name="Nombre de la prueba"/>
    <tableColumn id="5" name="Paso a paso"/>
    <tableColumn id="6" name="Tipo"/>
    <tableColumn id="7" name="Resultado esperado"/>
    <tableColumn id="8" name="Resultado obtenido"/>
    <tableColumn id="9" name="Dato de prueba"/>
    <tableColumn id="10" name="Módulo a probar"/>
    <tableColumn id="11" name="Plataforma"/>
    <tableColumn id="12" name="Resultado"/>
    <tableColumn id="13" name="Candidato a automatizar"/>
    <tableColumn id="14" name="Observación"/>
    <tableColumn id="15" name="Responsable ejecución"/>
    <tableColumn id="16" name="Complejidad"/>
    <tableColumn id="17" name="Fecha ejecu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24.4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n">
        <f aca="false">COUNTA('Identificación Casos'!A2:A200)</f>
        <v>26</v>
      </c>
    </row>
    <row r="12" customFormat="false" ht="16.15" hidden="false" customHeight="false" outlineLevel="0" collapsed="false">
      <c r="B12" s="5" t="s">
        <v>13</v>
      </c>
    </row>
    <row r="13" customFormat="false" ht="31.5" hidden="false" customHeight="true" outlineLevel="0" collapsed="false">
      <c r="B13" s="6" t="s">
        <v>14</v>
      </c>
      <c r="C13" s="7" t="s">
        <v>15</v>
      </c>
    </row>
    <row r="14" customFormat="false" ht="31.5" hidden="false" customHeight="true" outlineLevel="0" collapsed="false">
      <c r="B14" s="6" t="s">
        <v>14</v>
      </c>
      <c r="C14" s="7" t="s">
        <v>16</v>
      </c>
    </row>
    <row r="15" customFormat="false" ht="31.5" hidden="false" customHeight="true" outlineLevel="0" collapsed="false">
      <c r="B15" s="6" t="s">
        <v>14</v>
      </c>
      <c r="C15" s="7" t="s">
        <v>17</v>
      </c>
    </row>
    <row r="16" customFormat="false" ht="31.5" hidden="false" customHeight="true" outlineLevel="0" collapsed="false">
      <c r="B16" s="6" t="s">
        <v>14</v>
      </c>
      <c r="C16" s="7" t="s">
        <v>18</v>
      </c>
    </row>
    <row r="17" customFormat="false" ht="31.5" hidden="false" customHeight="true" outlineLevel="0" collapsed="false">
      <c r="B17" s="6" t="s">
        <v>14</v>
      </c>
      <c r="C17" s="7" t="s">
        <v>19</v>
      </c>
    </row>
    <row r="19" customFormat="false" ht="16.15" hidden="false" customHeight="false" outlineLevel="0" collapsed="false">
      <c r="B19" s="5" t="s">
        <v>20</v>
      </c>
    </row>
    <row r="20" customFormat="false" ht="18" hidden="false" customHeight="true" outlineLevel="0" collapsed="false">
      <c r="B20" s="8" t="s">
        <v>21</v>
      </c>
      <c r="C20" s="7" t="s">
        <v>22</v>
      </c>
    </row>
    <row r="21" customFormat="false" ht="31.5" hidden="false" customHeight="true" outlineLevel="0" collapsed="false">
      <c r="B21" s="8" t="s">
        <v>23</v>
      </c>
      <c r="C21" s="7" t="s">
        <v>24</v>
      </c>
    </row>
    <row r="22" customFormat="false" ht="18" hidden="false" customHeight="true" outlineLevel="0" collapsed="false">
      <c r="B22" s="8" t="s">
        <v>25</v>
      </c>
      <c r="C22" s="7" t="s">
        <v>26</v>
      </c>
    </row>
    <row r="23" customFormat="false" ht="18" hidden="false" customHeight="true" outlineLevel="0" collapsed="false">
      <c r="B23" s="8" t="s">
        <v>27</v>
      </c>
      <c r="C23" s="7" t="s">
        <v>28</v>
      </c>
    </row>
    <row r="25" customFormat="false" ht="16.15" hidden="false" customHeight="false" outlineLevel="0" collapsed="false">
      <c r="B25" s="5" t="s">
        <v>29</v>
      </c>
    </row>
    <row r="26" customFormat="false" ht="15" hidden="false" customHeight="false" outlineLevel="0" collapsed="false">
      <c r="B26" s="9" t="s">
        <v>30</v>
      </c>
      <c r="C26" s="10" t="s">
        <v>31</v>
      </c>
    </row>
    <row r="27" customFormat="false" ht="15" hidden="false" customHeight="false" outlineLevel="0" collapsed="false">
      <c r="B27" s="9" t="s">
        <v>32</v>
      </c>
      <c r="C27" s="10" t="s">
        <v>33</v>
      </c>
    </row>
    <row r="28" customFormat="false" ht="15" hidden="false" customHeight="false" outlineLevel="0" collapsed="false">
      <c r="B28" s="9" t="s">
        <v>34</v>
      </c>
      <c r="C28" s="10" t="s">
        <v>35</v>
      </c>
    </row>
    <row r="29" customFormat="false" ht="28.35" hidden="false" customHeight="false" outlineLevel="0" collapsed="false">
      <c r="B29" s="9" t="s">
        <v>36</v>
      </c>
      <c r="C29" s="10" t="s">
        <v>37</v>
      </c>
    </row>
    <row r="30" customFormat="false" ht="15" hidden="false" customHeight="false" outlineLevel="0" collapsed="false">
      <c r="B30" s="9" t="s">
        <v>38</v>
      </c>
      <c r="C30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2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1" t="s">
        <v>40</v>
      </c>
    </row>
    <row r="4" customFormat="false" ht="15" hidden="false" customHeight="false" outlineLevel="0" collapsed="false">
      <c r="B4" s="12" t="s">
        <v>41</v>
      </c>
      <c r="C4" s="12" t="s">
        <v>42</v>
      </c>
      <c r="D4" s="12" t="s">
        <v>43</v>
      </c>
    </row>
    <row r="5" customFormat="false" ht="15" hidden="false" customHeight="false" outlineLevel="0" collapsed="false">
      <c r="B5" s="13" t="s">
        <v>12</v>
      </c>
      <c r="C5" s="14" t="n">
        <f aca="false">COUNTA('Identificación Casos'!$A$2:$A$200)</f>
        <v>26</v>
      </c>
      <c r="D5" s="15" t="n">
        <f aca="false">IFERROR(C5/$C$5,0)</f>
        <v>1</v>
      </c>
    </row>
    <row r="6" customFormat="false" ht="15" hidden="false" customHeight="false" outlineLevel="0" collapsed="false">
      <c r="B6" s="16" t="s">
        <v>44</v>
      </c>
      <c r="C6" s="17" t="n">
        <f aca="false">COUNTIF('Identificación Casos'!$L$2:$L$200,"OK")</f>
        <v>26</v>
      </c>
      <c r="D6" s="15" t="n">
        <f aca="false">IFERROR(C6/$C$5,0)</f>
        <v>1</v>
      </c>
    </row>
    <row r="7" customFormat="false" ht="15" hidden="false" customHeight="false" outlineLevel="0" collapsed="false">
      <c r="B7" s="16" t="s">
        <v>45</v>
      </c>
      <c r="C7" s="17" t="n">
        <f aca="false">COUNTIF('Identificación Casos'!$L$2:$L$200,"NOK")</f>
        <v>0</v>
      </c>
      <c r="D7" s="15" t="n">
        <f aca="false">IFERROR(C7/$C$5,0)</f>
        <v>0</v>
      </c>
    </row>
    <row r="8" customFormat="false" ht="15" hidden="false" customHeight="false" outlineLevel="0" collapsed="false">
      <c r="B8" s="16" t="s">
        <v>46</v>
      </c>
      <c r="C8" s="17" t="n">
        <f aca="false">COUNTIF('Identificación Casos'!$L$2:$L$200,"Pendiente")</f>
        <v>0</v>
      </c>
      <c r="D8" s="15" t="n">
        <f aca="false">IFERROR(C8/$C$5,0)</f>
        <v>0</v>
      </c>
    </row>
    <row r="9" customFormat="false" ht="15" hidden="false" customHeight="false" outlineLevel="0" collapsed="false">
      <c r="B9" s="16" t="s">
        <v>47</v>
      </c>
      <c r="C9" s="17" t="n">
        <f aca="false">COUNTIF('Identificación Casos'!$L$2:$L$200,"Bloqueado")</f>
        <v>0</v>
      </c>
      <c r="D9" s="15" t="n">
        <f aca="false">IFERROR(C9/$C$5,0)</f>
        <v>0</v>
      </c>
    </row>
    <row r="10" customFormat="false" ht="15" hidden="false" customHeight="false" outlineLevel="0" collapsed="false">
      <c r="B10" s="18" t="s">
        <v>48</v>
      </c>
      <c r="C10" s="19" t="n">
        <f aca="false">C6+C7</f>
        <v>26</v>
      </c>
      <c r="D10" s="20" t="n">
        <f aca="false">IFERROR(C10/C5,0)</f>
        <v>1</v>
      </c>
    </row>
    <row r="12" customFormat="false" ht="15" hidden="false" customHeight="false" outlineLevel="0" collapsed="false">
      <c r="B12" s="12" t="s">
        <v>49</v>
      </c>
      <c r="C12" s="12" t="s">
        <v>42</v>
      </c>
      <c r="D12" s="12" t="s">
        <v>44</v>
      </c>
      <c r="E12" s="12" t="s">
        <v>45</v>
      </c>
      <c r="F12" s="12" t="s">
        <v>46</v>
      </c>
      <c r="G12" s="12" t="s">
        <v>47</v>
      </c>
    </row>
    <row r="13" customFormat="false" ht="15" hidden="false" customHeight="false" outlineLevel="0" collapsed="false">
      <c r="B13" s="16" t="s">
        <v>50</v>
      </c>
      <c r="C13" s="17" t="n">
        <f aca="false">COUNTIF('Identificación Casos'!$K$2:$K$200,B13)</f>
        <v>16</v>
      </c>
      <c r="D13" s="17" t="n">
        <f aca="false">COUNTIFS('Identificación Casos'!$K$2:$K$200,$B13,'Identificación Casos'!$L$2:$L$200,"OK")</f>
        <v>16</v>
      </c>
      <c r="E13" s="17" t="n">
        <f aca="false">COUNTIFS('Identificación Casos'!$K$2:$K$200,$B13,'Identificación Casos'!$L$2:$L$200,"NOK")</f>
        <v>0</v>
      </c>
      <c r="F13" s="17" t="n">
        <f aca="false">COUNTIFS('Identificación Casos'!$K$2:$K$200,$B13,'Identificación Casos'!$L$2:$L$200,"Pendiente")</f>
        <v>0</v>
      </c>
      <c r="G13" s="17" t="n">
        <f aca="false">COUNTIFS('Identificación Casos'!$K$2:$K$200,$B13,'Identificación Casos'!$L$2:$L$200,"Bloqueado")</f>
        <v>0</v>
      </c>
    </row>
    <row r="14" customFormat="false" ht="15" hidden="false" customHeight="false" outlineLevel="0" collapsed="false">
      <c r="B14" s="16" t="s">
        <v>51</v>
      </c>
      <c r="C14" s="17" t="n">
        <f aca="false">COUNTIF('Identificación Casos'!$K$2:$K$200,B14)</f>
        <v>6</v>
      </c>
      <c r="D14" s="17" t="n">
        <f aca="false">COUNTIFS('Identificación Casos'!$K$2:$K$200,$B14,'Identificación Casos'!$L$2:$L$200,"OK")</f>
        <v>6</v>
      </c>
      <c r="E14" s="17" t="n">
        <f aca="false">COUNTIFS('Identificación Casos'!$K$2:$K$200,$B14,'Identificación Casos'!$L$2:$L$200,"NOK")</f>
        <v>0</v>
      </c>
      <c r="F14" s="17" t="n">
        <f aca="false">COUNTIFS('Identificación Casos'!$K$2:$K$200,$B14,'Identificación Casos'!$L$2:$L$200,"Pendiente")</f>
        <v>0</v>
      </c>
      <c r="G14" s="17" t="n">
        <f aca="false">COUNTIFS('Identificación Casos'!$K$2:$K$200,$B14,'Identificación Casos'!$L$2:$L$200,"Bloqueado")</f>
        <v>0</v>
      </c>
    </row>
    <row r="15" customFormat="false" ht="15" hidden="false" customHeight="false" outlineLevel="0" collapsed="false">
      <c r="B15" s="16" t="s">
        <v>52</v>
      </c>
      <c r="C15" s="17" t="n">
        <f aca="false">COUNTIF('Identificación Casos'!$K$2:$K$200,B15)</f>
        <v>1</v>
      </c>
      <c r="D15" s="17" t="n">
        <f aca="false">COUNTIFS('Identificación Casos'!$K$2:$K$200,$B15,'Identificación Casos'!$L$2:$L$200,"OK")</f>
        <v>1</v>
      </c>
      <c r="E15" s="17" t="n">
        <f aca="false">COUNTIFS('Identificación Casos'!$K$2:$K$200,$B15,'Identificación Casos'!$L$2:$L$200,"NOK")</f>
        <v>0</v>
      </c>
      <c r="F15" s="17" t="n">
        <f aca="false">COUNTIFS('Identificación Casos'!$K$2:$K$200,$B15,'Identificación Casos'!$L$2:$L$200,"Pendiente")</f>
        <v>0</v>
      </c>
      <c r="G15" s="17" t="n">
        <f aca="false">COUNTIFS('Identificación Casos'!$K$2:$K$200,$B15,'Identificación Casos'!$L$2:$L$200,"Bloqueado")</f>
        <v>0</v>
      </c>
    </row>
    <row r="16" customFormat="false" ht="15" hidden="false" customHeight="false" outlineLevel="0" collapsed="false">
      <c r="B16" s="16" t="s">
        <v>53</v>
      </c>
      <c r="C16" s="17" t="n">
        <f aca="false">COUNTIF('Identificación Casos'!$K$2:$K$200,B16)</f>
        <v>2</v>
      </c>
      <c r="D16" s="17" t="n">
        <f aca="false">COUNTIFS('Identificación Casos'!$K$2:$K$200,$B16,'Identificación Casos'!$L$2:$L$200,"OK")</f>
        <v>2</v>
      </c>
      <c r="E16" s="17" t="n">
        <f aca="false">COUNTIFS('Identificación Casos'!$K$2:$K$200,$B16,'Identificación Casos'!$L$2:$L$200,"NOK")</f>
        <v>0</v>
      </c>
      <c r="F16" s="17" t="n">
        <f aca="false">COUNTIFS('Identificación Casos'!$K$2:$K$200,$B16,'Identificación Casos'!$L$2:$L$200,"Pendiente")</f>
        <v>0</v>
      </c>
      <c r="G16" s="17" t="n">
        <f aca="false">COUNTIFS('Identificación Casos'!$K$2:$K$200,$B16,'Identificación Casos'!$L$2:$L$200,"Bloqueado")</f>
        <v>0</v>
      </c>
    </row>
    <row r="17" customFormat="false" ht="15" hidden="false" customHeight="false" outlineLevel="0" collapsed="false">
      <c r="B17" s="16" t="s">
        <v>54</v>
      </c>
      <c r="C17" s="17" t="n">
        <f aca="false">COUNTIF('Identificación Casos'!$K$2:$K$200,B17)</f>
        <v>1</v>
      </c>
      <c r="D17" s="17" t="n">
        <f aca="false">COUNTIFS('Identificación Casos'!$K$2:$K$200,$B17,'Identificación Casos'!$L$2:$L$200,"OK")</f>
        <v>1</v>
      </c>
      <c r="E17" s="17" t="n">
        <f aca="false">COUNTIFS('Identificación Casos'!$K$2:$K$200,$B17,'Identificación Casos'!$L$2:$L$200,"NOK")</f>
        <v>0</v>
      </c>
      <c r="F17" s="17" t="n">
        <f aca="false">COUNTIFS('Identificación Casos'!$K$2:$K$200,$B17,'Identificación Casos'!$L$2:$L$200,"Pendiente")</f>
        <v>0</v>
      </c>
      <c r="G17" s="17" t="n">
        <f aca="false">COUNTIFS('Identificación Casos'!$K$2:$K$200,$B17,'Identificación Casos'!$L$2:$L$200,"Bloqueado")</f>
        <v>0</v>
      </c>
    </row>
    <row r="18" customFormat="false" ht="15" hidden="false" customHeight="false" outlineLevel="0" collapsed="false">
      <c r="B18" s="18" t="s">
        <v>55</v>
      </c>
      <c r="C18" s="19" t="n">
        <f aca="false">SUM(C13:C17)</f>
        <v>26</v>
      </c>
      <c r="D18" s="19" t="n">
        <f aca="false">SUM(D13:D17)</f>
        <v>26</v>
      </c>
      <c r="E18" s="19" t="n">
        <f aca="false">SUM(E13:E17)</f>
        <v>0</v>
      </c>
      <c r="F18" s="19" t="n">
        <f aca="false">SUM(F13:F17)</f>
        <v>0</v>
      </c>
      <c r="G18" s="19" t="n">
        <f aca="false">SUM(G13:G17)</f>
        <v>0</v>
      </c>
    </row>
    <row r="20" customFormat="false" ht="15" hidden="false" customHeight="false" outlineLevel="0" collapsed="false">
      <c r="B20" s="12" t="s">
        <v>56</v>
      </c>
      <c r="C20" s="12" t="s">
        <v>42</v>
      </c>
      <c r="D20" s="12" t="s">
        <v>44</v>
      </c>
      <c r="E20" s="12" t="s">
        <v>45</v>
      </c>
      <c r="F20" s="12" t="s">
        <v>46</v>
      </c>
      <c r="G20" s="12" t="s">
        <v>47</v>
      </c>
    </row>
    <row r="21" customFormat="false" ht="15" hidden="false" customHeight="false" outlineLevel="0" collapsed="false">
      <c r="B21" s="16" t="s">
        <v>57</v>
      </c>
      <c r="C21" s="17" t="n">
        <f aca="false">COUNTIF('Identificación Casos'!$J$2:$J$200,B21)</f>
        <v>3</v>
      </c>
      <c r="D21" s="17" t="n">
        <f aca="false">COUNTIFS('Identificación Casos'!$J$2:$J$200,$B21,'Identificación Casos'!$L$2:$L$200,"OK")</f>
        <v>3</v>
      </c>
      <c r="E21" s="17" t="n">
        <f aca="false">COUNTIFS('Identificación Casos'!$J$2:$J$200,$B21,'Identificación Casos'!$L$2:$L$200,"NOK")</f>
        <v>0</v>
      </c>
      <c r="F21" s="17" t="n">
        <f aca="false">COUNTIFS('Identificación Casos'!$J$2:$J$200,$B21,'Identificación Casos'!$L$2:$L$200,"Pendiente")</f>
        <v>0</v>
      </c>
      <c r="G21" s="17" t="n">
        <f aca="false">COUNTIFS('Identificación Casos'!$J$2:$J$200,$B21,'Identificación Casos'!$L$2:$L$200,"Bloqueado")</f>
        <v>0</v>
      </c>
    </row>
    <row r="22" customFormat="false" ht="15" hidden="false" customHeight="false" outlineLevel="0" collapsed="false">
      <c r="B22" s="16" t="s">
        <v>58</v>
      </c>
      <c r="C22" s="17" t="n">
        <f aca="false">COUNTIF('Identificación Casos'!$J$2:$J$200,B22)</f>
        <v>6</v>
      </c>
      <c r="D22" s="17" t="n">
        <f aca="false">COUNTIFS('Identificación Casos'!$J$2:$J$200,$B22,'Identificación Casos'!$L$2:$L$200,"OK")</f>
        <v>6</v>
      </c>
      <c r="E22" s="17" t="n">
        <f aca="false">COUNTIFS('Identificación Casos'!$J$2:$J$200,$B22,'Identificación Casos'!$L$2:$L$200,"NOK")</f>
        <v>0</v>
      </c>
      <c r="F22" s="17" t="n">
        <f aca="false">COUNTIFS('Identificación Casos'!$J$2:$J$200,$B22,'Identificación Casos'!$L$2:$L$200,"Pendiente")</f>
        <v>0</v>
      </c>
      <c r="G22" s="17" t="n">
        <f aca="false">COUNTIFS('Identificación Casos'!$J$2:$J$200,$B22,'Identificación Casos'!$L$2:$L$200,"Bloqueado")</f>
        <v>0</v>
      </c>
    </row>
    <row r="23" customFormat="false" ht="15" hidden="false" customHeight="false" outlineLevel="0" collapsed="false">
      <c r="B23" s="16" t="s">
        <v>59</v>
      </c>
      <c r="C23" s="17" t="n">
        <f aca="false">COUNTIF('Identificación Casos'!$J$2:$J$200,B23)</f>
        <v>1</v>
      </c>
      <c r="D23" s="17" t="n">
        <f aca="false">COUNTIFS('Identificación Casos'!$J$2:$J$200,$B23,'Identificación Casos'!$L$2:$L$200,"OK")</f>
        <v>1</v>
      </c>
      <c r="E23" s="17" t="n">
        <f aca="false">COUNTIFS('Identificación Casos'!$J$2:$J$200,$B23,'Identificación Casos'!$L$2:$L$200,"NOK")</f>
        <v>0</v>
      </c>
      <c r="F23" s="17" t="n">
        <f aca="false">COUNTIFS('Identificación Casos'!$J$2:$J$200,$B23,'Identificación Casos'!$L$2:$L$200,"Pendiente")</f>
        <v>0</v>
      </c>
      <c r="G23" s="17" t="n">
        <f aca="false">COUNTIFS('Identificación Casos'!$J$2:$J$200,$B23,'Identificación Casos'!$L$2:$L$200,"Bloqueado")</f>
        <v>0</v>
      </c>
    </row>
    <row r="24" customFormat="false" ht="15" hidden="false" customHeight="false" outlineLevel="0" collapsed="false">
      <c r="B24" s="16" t="s">
        <v>60</v>
      </c>
      <c r="C24" s="17" t="n">
        <f aca="false">COUNTIF('Identificación Casos'!$J$2:$J$200,B24)</f>
        <v>1</v>
      </c>
      <c r="D24" s="17" t="n">
        <f aca="false">COUNTIFS('Identificación Casos'!$J$2:$J$200,$B24,'Identificación Casos'!$L$2:$L$200,"OK")</f>
        <v>1</v>
      </c>
      <c r="E24" s="17" t="n">
        <f aca="false">COUNTIFS('Identificación Casos'!$J$2:$J$200,$B24,'Identificación Casos'!$L$2:$L$200,"NOK")</f>
        <v>0</v>
      </c>
      <c r="F24" s="17" t="n">
        <f aca="false">COUNTIFS('Identificación Casos'!$J$2:$J$200,$B24,'Identificación Casos'!$L$2:$L$200,"Pendiente")</f>
        <v>0</v>
      </c>
      <c r="G24" s="17" t="n">
        <f aca="false">COUNTIFS('Identificación Casos'!$J$2:$J$200,$B24,'Identificación Casos'!$L$2:$L$200,"Bloqueado")</f>
        <v>0</v>
      </c>
    </row>
    <row r="25" customFormat="false" ht="15" hidden="false" customHeight="false" outlineLevel="0" collapsed="false">
      <c r="B25" s="16" t="s">
        <v>61</v>
      </c>
      <c r="C25" s="17" t="n">
        <f aca="false">COUNTIF('Identificación Casos'!$J$2:$J$200,B25)</f>
        <v>5</v>
      </c>
      <c r="D25" s="17" t="n">
        <f aca="false">COUNTIFS('Identificación Casos'!$J$2:$J$200,$B25,'Identificación Casos'!$L$2:$L$200,"OK")</f>
        <v>5</v>
      </c>
      <c r="E25" s="17" t="n">
        <f aca="false">COUNTIFS('Identificación Casos'!$J$2:$J$200,$B25,'Identificación Casos'!$L$2:$L$200,"NOK")</f>
        <v>0</v>
      </c>
      <c r="F25" s="17" t="n">
        <f aca="false">COUNTIFS('Identificación Casos'!$J$2:$J$200,$B25,'Identificación Casos'!$L$2:$L$200,"Pendiente")</f>
        <v>0</v>
      </c>
      <c r="G25" s="17" t="n">
        <f aca="false">COUNTIFS('Identificación Casos'!$J$2:$J$200,$B25,'Identificación Casos'!$L$2:$L$200,"Bloqueado")</f>
        <v>0</v>
      </c>
    </row>
    <row r="26" customFormat="false" ht="15" hidden="false" customHeight="false" outlineLevel="0" collapsed="false">
      <c r="B26" s="16" t="s">
        <v>62</v>
      </c>
      <c r="C26" s="17" t="n">
        <f aca="false">COUNTIF('Identificación Casos'!$J$2:$J$200,B26)</f>
        <v>1</v>
      </c>
      <c r="D26" s="17" t="n">
        <f aca="false">COUNTIFS('Identificación Casos'!$J$2:$J$200,$B26,'Identificación Casos'!$L$2:$L$200,"OK")</f>
        <v>1</v>
      </c>
      <c r="E26" s="17" t="n">
        <f aca="false">COUNTIFS('Identificación Casos'!$J$2:$J$200,$B26,'Identificación Casos'!$L$2:$L$200,"NOK")</f>
        <v>0</v>
      </c>
      <c r="F26" s="17" t="n">
        <f aca="false">COUNTIFS('Identificación Casos'!$J$2:$J$200,$B26,'Identificación Casos'!$L$2:$L$200,"Pendiente")</f>
        <v>0</v>
      </c>
      <c r="G26" s="17" t="n">
        <f aca="false">COUNTIFS('Identificación Casos'!$J$2:$J$200,$B26,'Identificación Casos'!$L$2:$L$200,"Bloqueado")</f>
        <v>0</v>
      </c>
    </row>
    <row r="27" customFormat="false" ht="15" hidden="false" customHeight="false" outlineLevel="0" collapsed="false">
      <c r="B27" s="16" t="s">
        <v>63</v>
      </c>
      <c r="C27" s="17" t="n">
        <f aca="false">COUNTIF('Identificación Casos'!$J$2:$J$200,B27)</f>
        <v>4</v>
      </c>
      <c r="D27" s="17" t="n">
        <f aca="false">COUNTIFS('Identificación Casos'!$J$2:$J$200,$B27,'Identificación Casos'!$L$2:$L$200,"OK")</f>
        <v>4</v>
      </c>
      <c r="E27" s="17" t="n">
        <f aca="false">COUNTIFS('Identificación Casos'!$J$2:$J$200,$B27,'Identificación Casos'!$L$2:$L$200,"NOK")</f>
        <v>0</v>
      </c>
      <c r="F27" s="17" t="n">
        <f aca="false">COUNTIFS('Identificación Casos'!$J$2:$J$200,$B27,'Identificación Casos'!$L$2:$L$200,"Pendiente")</f>
        <v>0</v>
      </c>
      <c r="G27" s="17" t="n">
        <f aca="false">COUNTIFS('Identificación Casos'!$J$2:$J$200,$B27,'Identificación Casos'!$L$2:$L$200,"Bloqueado")</f>
        <v>0</v>
      </c>
    </row>
    <row r="28" customFormat="false" ht="15" hidden="false" customHeight="false" outlineLevel="0" collapsed="false">
      <c r="B28" s="16" t="s">
        <v>64</v>
      </c>
      <c r="C28" s="17" t="n">
        <f aca="false">COUNTIF('Identificación Casos'!$J$2:$J$200,B28)</f>
        <v>3</v>
      </c>
      <c r="D28" s="17" t="n">
        <f aca="false">COUNTIFS('Identificación Casos'!$J$2:$J$200,$B28,'Identificación Casos'!$L$2:$L$200,"OK")</f>
        <v>3</v>
      </c>
      <c r="E28" s="17" t="n">
        <f aca="false">COUNTIFS('Identificación Casos'!$J$2:$J$200,$B28,'Identificación Casos'!$L$2:$L$200,"NOK")</f>
        <v>0</v>
      </c>
      <c r="F28" s="17" t="n">
        <f aca="false">COUNTIFS('Identificación Casos'!$J$2:$J$200,$B28,'Identificación Casos'!$L$2:$L$200,"Pendiente")</f>
        <v>0</v>
      </c>
      <c r="G28" s="17" t="n">
        <f aca="false">COUNTIFS('Identificación Casos'!$J$2:$J$200,$B28,'Identificación Casos'!$L$2:$L$200,"Bloqueado")</f>
        <v>0</v>
      </c>
    </row>
    <row r="29" customFormat="false" ht="15" hidden="false" customHeight="false" outlineLevel="0" collapsed="false">
      <c r="B29" s="16" t="s">
        <v>65</v>
      </c>
      <c r="C29" s="17" t="n">
        <f aca="false">COUNTIF('Identificación Casos'!$J$2:$J$200,B29)</f>
        <v>1</v>
      </c>
      <c r="D29" s="17" t="n">
        <f aca="false">COUNTIFS('Identificación Casos'!$J$2:$J$200,$B29,'Identificación Casos'!$L$2:$L$200,"OK")</f>
        <v>1</v>
      </c>
      <c r="E29" s="17" t="n">
        <f aca="false">COUNTIFS('Identificación Casos'!$J$2:$J$200,$B29,'Identificación Casos'!$L$2:$L$200,"NOK")</f>
        <v>0</v>
      </c>
      <c r="F29" s="17" t="n">
        <f aca="false">COUNTIFS('Identificación Casos'!$J$2:$J$200,$B29,'Identificación Casos'!$L$2:$L$200,"Pendiente")</f>
        <v>0</v>
      </c>
      <c r="G29" s="17" t="n">
        <f aca="false">COUNTIFS('Identificación Casos'!$J$2:$J$200,$B29,'Identificación Casos'!$L$2:$L$200,"Bloqueado")</f>
        <v>0</v>
      </c>
    </row>
    <row r="30" customFormat="false" ht="15" hidden="false" customHeight="false" outlineLevel="0" collapsed="false">
      <c r="B30" s="16" t="s">
        <v>66</v>
      </c>
      <c r="C30" s="17" t="n">
        <f aca="false">COUNTIF('Identificación Casos'!$J$2:$J$200,B30)</f>
        <v>1</v>
      </c>
      <c r="D30" s="17" t="n">
        <f aca="false">COUNTIFS('Identificación Casos'!$J$2:$J$200,$B30,'Identificación Casos'!$L$2:$L$200,"OK")</f>
        <v>1</v>
      </c>
      <c r="E30" s="17" t="n">
        <f aca="false">COUNTIFS('Identificación Casos'!$J$2:$J$200,$B30,'Identificación Casos'!$L$2:$L$200,"NOK")</f>
        <v>0</v>
      </c>
      <c r="F30" s="17" t="n">
        <f aca="false">COUNTIFS('Identificación Casos'!$J$2:$J$200,$B30,'Identificación Casos'!$L$2:$L$200,"Pendiente")</f>
        <v>0</v>
      </c>
      <c r="G30" s="17" t="n">
        <f aca="false">COUNTIFS('Identificación Casos'!$J$2:$J$200,$B30,'Identificación Casos'!$L$2:$L$200,"Bloqueado")</f>
        <v>0</v>
      </c>
    </row>
    <row r="31" customFormat="false" ht="15" hidden="false" customHeight="false" outlineLevel="0" collapsed="false">
      <c r="B31" s="18" t="s">
        <v>55</v>
      </c>
      <c r="C31" s="19" t="n">
        <f aca="false">SUM(C21:C30)</f>
        <v>26</v>
      </c>
      <c r="D31" s="19" t="n">
        <f aca="false">SUM(D21:D30)</f>
        <v>26</v>
      </c>
      <c r="E31" s="19" t="n">
        <f aca="false">SUM(E21:E30)</f>
        <v>0</v>
      </c>
      <c r="F31" s="19" t="n">
        <f aca="false">SUM(F21:F30)</f>
        <v>0</v>
      </c>
      <c r="G31" s="19" t="n">
        <f aca="false">SUM(G21:G30)</f>
        <v>0</v>
      </c>
    </row>
    <row r="33" customFormat="false" ht="15" hidden="false" customHeight="false" outlineLevel="0" collapsed="false">
      <c r="B33" s="2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52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32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7" min="17" style="0" width="14"/>
  </cols>
  <sheetData>
    <row r="1" customFormat="false" ht="31.5" hidden="false" customHeight="true" outlineLevel="0" collapsed="false">
      <c r="A1" s="12" t="s">
        <v>68</v>
      </c>
      <c r="B1" s="12" t="s">
        <v>69</v>
      </c>
      <c r="C1" s="12" t="s">
        <v>70</v>
      </c>
      <c r="D1" s="12" t="s">
        <v>71</v>
      </c>
      <c r="E1" s="12" t="s">
        <v>72</v>
      </c>
      <c r="F1" s="12" t="s">
        <v>73</v>
      </c>
      <c r="G1" s="12" t="s">
        <v>74</v>
      </c>
      <c r="H1" s="12" t="s">
        <v>75</v>
      </c>
      <c r="I1" s="12" t="s">
        <v>76</v>
      </c>
      <c r="J1" s="12" t="s">
        <v>77</v>
      </c>
      <c r="K1" s="12" t="s">
        <v>49</v>
      </c>
      <c r="L1" s="12" t="s">
        <v>78</v>
      </c>
      <c r="M1" s="12" t="s">
        <v>79</v>
      </c>
      <c r="N1" s="12" t="s">
        <v>80</v>
      </c>
      <c r="O1" s="12" t="s">
        <v>81</v>
      </c>
      <c r="P1" s="12" t="s">
        <v>82</v>
      </c>
      <c r="Q1" s="12" t="s">
        <v>83</v>
      </c>
    </row>
    <row r="2" customFormat="false" ht="88.5" hidden="false" customHeight="true" outlineLevel="0" collapsed="false">
      <c r="A2" s="22" t="s">
        <v>84</v>
      </c>
      <c r="B2" s="23" t="s">
        <v>85</v>
      </c>
      <c r="C2" s="24" t="s">
        <v>86</v>
      </c>
      <c r="D2" s="24" t="s">
        <v>87</v>
      </c>
      <c r="E2" s="24" t="s">
        <v>88</v>
      </c>
      <c r="F2" s="23" t="s">
        <v>89</v>
      </c>
      <c r="G2" s="24" t="s">
        <v>90</v>
      </c>
      <c r="H2" s="24" t="s">
        <v>91</v>
      </c>
      <c r="I2" s="24" t="s">
        <v>92</v>
      </c>
      <c r="J2" s="23" t="s">
        <v>57</v>
      </c>
      <c r="K2" s="23" t="s">
        <v>50</v>
      </c>
      <c r="L2" s="23" t="s">
        <v>44</v>
      </c>
      <c r="M2" s="23" t="s">
        <v>93</v>
      </c>
      <c r="N2" s="24"/>
      <c r="O2" s="23" t="s">
        <v>9</v>
      </c>
      <c r="P2" s="23" t="s">
        <v>94</v>
      </c>
      <c r="Q2" s="23" t="s">
        <v>11</v>
      </c>
    </row>
    <row r="3" customFormat="false" ht="88.5" hidden="false" customHeight="true" outlineLevel="0" collapsed="false">
      <c r="A3" s="22" t="s">
        <v>95</v>
      </c>
      <c r="B3" s="23" t="s">
        <v>85</v>
      </c>
      <c r="C3" s="24" t="s">
        <v>96</v>
      </c>
      <c r="D3" s="24" t="s">
        <v>97</v>
      </c>
      <c r="E3" s="24" t="s">
        <v>98</v>
      </c>
      <c r="F3" s="23" t="s">
        <v>89</v>
      </c>
      <c r="G3" s="24" t="s">
        <v>99</v>
      </c>
      <c r="H3" s="24" t="s">
        <v>99</v>
      </c>
      <c r="I3" s="24" t="s">
        <v>100</v>
      </c>
      <c r="J3" s="23" t="s">
        <v>57</v>
      </c>
      <c r="K3" s="23" t="s">
        <v>51</v>
      </c>
      <c r="L3" s="23" t="s">
        <v>44</v>
      </c>
      <c r="M3" s="23" t="s">
        <v>93</v>
      </c>
      <c r="N3" s="24"/>
      <c r="O3" s="23" t="s">
        <v>9</v>
      </c>
      <c r="P3" s="23" t="s">
        <v>94</v>
      </c>
      <c r="Q3" s="23" t="s">
        <v>11</v>
      </c>
    </row>
    <row r="4" customFormat="false" ht="75" hidden="false" customHeight="true" outlineLevel="0" collapsed="false">
      <c r="A4" s="22" t="s">
        <v>101</v>
      </c>
      <c r="B4" s="23" t="s">
        <v>102</v>
      </c>
      <c r="C4" s="24" t="s">
        <v>103</v>
      </c>
      <c r="D4" s="24" t="s">
        <v>104</v>
      </c>
      <c r="E4" s="24" t="s">
        <v>105</v>
      </c>
      <c r="F4" s="23" t="s">
        <v>106</v>
      </c>
      <c r="G4" s="24" t="s">
        <v>107</v>
      </c>
      <c r="H4" s="24" t="s">
        <v>108</v>
      </c>
      <c r="I4" s="24" t="s">
        <v>92</v>
      </c>
      <c r="J4" s="23" t="s">
        <v>64</v>
      </c>
      <c r="K4" s="23" t="s">
        <v>52</v>
      </c>
      <c r="L4" s="23" t="s">
        <v>44</v>
      </c>
      <c r="M4" s="23" t="s">
        <v>93</v>
      </c>
      <c r="N4" s="24" t="s">
        <v>109</v>
      </c>
      <c r="O4" s="23" t="s">
        <v>9</v>
      </c>
      <c r="P4" s="23" t="s">
        <v>94</v>
      </c>
      <c r="Q4" s="23" t="s">
        <v>11</v>
      </c>
    </row>
    <row r="5" customFormat="false" ht="75" hidden="false" customHeight="true" outlineLevel="0" collapsed="false">
      <c r="A5" s="22" t="s">
        <v>110</v>
      </c>
      <c r="B5" s="23" t="s">
        <v>85</v>
      </c>
      <c r="C5" s="24" t="s">
        <v>111</v>
      </c>
      <c r="D5" s="24" t="s">
        <v>112</v>
      </c>
      <c r="E5" s="24" t="s">
        <v>113</v>
      </c>
      <c r="F5" s="23" t="s">
        <v>89</v>
      </c>
      <c r="G5" s="24" t="s">
        <v>114</v>
      </c>
      <c r="H5" s="24" t="s">
        <v>115</v>
      </c>
      <c r="I5" s="24" t="s">
        <v>116</v>
      </c>
      <c r="J5" s="23" t="s">
        <v>57</v>
      </c>
      <c r="K5" s="23" t="s">
        <v>50</v>
      </c>
      <c r="L5" s="23" t="s">
        <v>44</v>
      </c>
      <c r="M5" s="23" t="s">
        <v>93</v>
      </c>
      <c r="N5" s="24"/>
      <c r="O5" s="23" t="s">
        <v>9</v>
      </c>
      <c r="P5" s="23" t="s">
        <v>94</v>
      </c>
      <c r="Q5" s="23" t="s">
        <v>11</v>
      </c>
    </row>
    <row r="6" customFormat="false" ht="88.5" hidden="false" customHeight="true" outlineLevel="0" collapsed="false">
      <c r="A6" s="22" t="s">
        <v>117</v>
      </c>
      <c r="B6" s="23" t="s">
        <v>118</v>
      </c>
      <c r="C6" s="24" t="s">
        <v>119</v>
      </c>
      <c r="D6" s="24" t="s">
        <v>120</v>
      </c>
      <c r="E6" s="24" t="s">
        <v>121</v>
      </c>
      <c r="F6" s="23" t="s">
        <v>89</v>
      </c>
      <c r="G6" s="24" t="s">
        <v>122</v>
      </c>
      <c r="H6" s="24" t="s">
        <v>123</v>
      </c>
      <c r="I6" s="24" t="s">
        <v>92</v>
      </c>
      <c r="J6" s="23" t="s">
        <v>60</v>
      </c>
      <c r="K6" s="23" t="s">
        <v>50</v>
      </c>
      <c r="L6" s="23" t="s">
        <v>44</v>
      </c>
      <c r="M6" s="23" t="s">
        <v>124</v>
      </c>
      <c r="N6" s="24"/>
      <c r="O6" s="23" t="s">
        <v>9</v>
      </c>
      <c r="P6" s="23" t="s">
        <v>94</v>
      </c>
      <c r="Q6" s="23" t="s">
        <v>11</v>
      </c>
    </row>
    <row r="7" customFormat="false" ht="129" hidden="false" customHeight="true" outlineLevel="0" collapsed="false">
      <c r="A7" s="22" t="s">
        <v>125</v>
      </c>
      <c r="B7" s="23" t="s">
        <v>126</v>
      </c>
      <c r="C7" s="24" t="s">
        <v>127</v>
      </c>
      <c r="D7" s="24" t="s">
        <v>128</v>
      </c>
      <c r="E7" s="24" t="s">
        <v>129</v>
      </c>
      <c r="F7" s="23" t="s">
        <v>89</v>
      </c>
      <c r="G7" s="24" t="s">
        <v>130</v>
      </c>
      <c r="H7" s="24" t="s">
        <v>131</v>
      </c>
      <c r="I7" s="24" t="s">
        <v>132</v>
      </c>
      <c r="J7" s="23" t="s">
        <v>58</v>
      </c>
      <c r="K7" s="23" t="s">
        <v>50</v>
      </c>
      <c r="L7" s="23" t="s">
        <v>44</v>
      </c>
      <c r="M7" s="23" t="s">
        <v>93</v>
      </c>
      <c r="N7" s="24"/>
      <c r="O7" s="23" t="s">
        <v>9</v>
      </c>
      <c r="P7" s="23" t="s">
        <v>133</v>
      </c>
      <c r="Q7" s="23" t="s">
        <v>11</v>
      </c>
    </row>
    <row r="8" customFormat="false" ht="129" hidden="false" customHeight="true" outlineLevel="0" collapsed="false">
      <c r="A8" s="22" t="s">
        <v>134</v>
      </c>
      <c r="B8" s="23" t="s">
        <v>135</v>
      </c>
      <c r="C8" s="24" t="s">
        <v>136</v>
      </c>
      <c r="D8" s="24" t="s">
        <v>137</v>
      </c>
      <c r="E8" s="24" t="s">
        <v>138</v>
      </c>
      <c r="F8" s="23" t="s">
        <v>89</v>
      </c>
      <c r="G8" s="24" t="s">
        <v>139</v>
      </c>
      <c r="H8" s="24" t="s">
        <v>140</v>
      </c>
      <c r="I8" s="24" t="s">
        <v>141</v>
      </c>
      <c r="J8" s="23" t="s">
        <v>58</v>
      </c>
      <c r="K8" s="23" t="s">
        <v>50</v>
      </c>
      <c r="L8" s="23" t="s">
        <v>44</v>
      </c>
      <c r="M8" s="23" t="s">
        <v>93</v>
      </c>
      <c r="N8" s="24"/>
      <c r="O8" s="23" t="s">
        <v>9</v>
      </c>
      <c r="P8" s="23" t="s">
        <v>133</v>
      </c>
      <c r="Q8" s="23" t="s">
        <v>11</v>
      </c>
    </row>
    <row r="9" customFormat="false" ht="88.5" hidden="false" customHeight="true" outlineLevel="0" collapsed="false">
      <c r="A9" s="22" t="s">
        <v>142</v>
      </c>
      <c r="B9" s="23" t="s">
        <v>143</v>
      </c>
      <c r="C9" s="24" t="s">
        <v>144</v>
      </c>
      <c r="D9" s="24" t="s">
        <v>145</v>
      </c>
      <c r="E9" s="24" t="s">
        <v>146</v>
      </c>
      <c r="F9" s="23" t="s">
        <v>89</v>
      </c>
      <c r="G9" s="24" t="s">
        <v>147</v>
      </c>
      <c r="H9" s="24" t="s">
        <v>148</v>
      </c>
      <c r="I9" s="24" t="s">
        <v>149</v>
      </c>
      <c r="J9" s="23" t="s">
        <v>61</v>
      </c>
      <c r="K9" s="23" t="s">
        <v>50</v>
      </c>
      <c r="L9" s="23" t="s">
        <v>44</v>
      </c>
      <c r="M9" s="23" t="s">
        <v>93</v>
      </c>
      <c r="N9" s="24"/>
      <c r="O9" s="23" t="s">
        <v>9</v>
      </c>
      <c r="P9" s="23" t="s">
        <v>133</v>
      </c>
      <c r="Q9" s="23" t="s">
        <v>11</v>
      </c>
    </row>
    <row r="10" customFormat="false" ht="75" hidden="false" customHeight="true" outlineLevel="0" collapsed="false">
      <c r="A10" s="22" t="s">
        <v>150</v>
      </c>
      <c r="B10" s="23" t="s">
        <v>143</v>
      </c>
      <c r="C10" s="24" t="s">
        <v>151</v>
      </c>
      <c r="D10" s="24" t="s">
        <v>152</v>
      </c>
      <c r="E10" s="24" t="s">
        <v>153</v>
      </c>
      <c r="F10" s="23" t="s">
        <v>89</v>
      </c>
      <c r="G10" s="24" t="s">
        <v>154</v>
      </c>
      <c r="H10" s="24" t="s">
        <v>155</v>
      </c>
      <c r="I10" s="24" t="s">
        <v>156</v>
      </c>
      <c r="J10" s="23" t="s">
        <v>61</v>
      </c>
      <c r="K10" s="23" t="s">
        <v>50</v>
      </c>
      <c r="L10" s="23" t="s">
        <v>44</v>
      </c>
      <c r="M10" s="23" t="s">
        <v>93</v>
      </c>
      <c r="N10" s="24" t="s">
        <v>157</v>
      </c>
      <c r="O10" s="23" t="s">
        <v>9</v>
      </c>
      <c r="P10" s="23" t="s">
        <v>133</v>
      </c>
      <c r="Q10" s="23" t="s">
        <v>11</v>
      </c>
    </row>
    <row r="11" customFormat="false" ht="115.5" hidden="false" customHeight="true" outlineLevel="0" collapsed="false">
      <c r="A11" s="22" t="s">
        <v>158</v>
      </c>
      <c r="B11" s="23" t="s">
        <v>143</v>
      </c>
      <c r="C11" s="24" t="s">
        <v>159</v>
      </c>
      <c r="D11" s="24" t="s">
        <v>160</v>
      </c>
      <c r="E11" s="24" t="s">
        <v>161</v>
      </c>
      <c r="F11" s="23" t="s">
        <v>89</v>
      </c>
      <c r="G11" s="24" t="s">
        <v>162</v>
      </c>
      <c r="H11" s="24" t="s">
        <v>163</v>
      </c>
      <c r="I11" s="24" t="s">
        <v>149</v>
      </c>
      <c r="J11" s="23" t="s">
        <v>61</v>
      </c>
      <c r="K11" s="23" t="s">
        <v>50</v>
      </c>
      <c r="L11" s="23" t="s">
        <v>44</v>
      </c>
      <c r="M11" s="23" t="s">
        <v>93</v>
      </c>
      <c r="N11" s="24"/>
      <c r="O11" s="23" t="s">
        <v>9</v>
      </c>
      <c r="P11" s="23" t="s">
        <v>133</v>
      </c>
      <c r="Q11" s="23" t="s">
        <v>11</v>
      </c>
    </row>
    <row r="12" customFormat="false" ht="75" hidden="false" customHeight="true" outlineLevel="0" collapsed="false">
      <c r="A12" s="22" t="s">
        <v>164</v>
      </c>
      <c r="B12" s="23" t="s">
        <v>143</v>
      </c>
      <c r="C12" s="24" t="s">
        <v>165</v>
      </c>
      <c r="D12" s="24" t="s">
        <v>166</v>
      </c>
      <c r="E12" s="24" t="s">
        <v>167</v>
      </c>
      <c r="F12" s="23" t="s">
        <v>89</v>
      </c>
      <c r="G12" s="24" t="s">
        <v>168</v>
      </c>
      <c r="H12" s="24" t="s">
        <v>169</v>
      </c>
      <c r="I12" s="24" t="s">
        <v>170</v>
      </c>
      <c r="J12" s="23" t="s">
        <v>61</v>
      </c>
      <c r="K12" s="23" t="s">
        <v>50</v>
      </c>
      <c r="L12" s="23" t="s">
        <v>44</v>
      </c>
      <c r="M12" s="23" t="s">
        <v>93</v>
      </c>
      <c r="N12" s="24" t="s">
        <v>171</v>
      </c>
      <c r="O12" s="23" t="s">
        <v>9</v>
      </c>
      <c r="P12" s="23" t="s">
        <v>133</v>
      </c>
      <c r="Q12" s="23" t="s">
        <v>11</v>
      </c>
    </row>
    <row r="13" customFormat="false" ht="88.5" hidden="false" customHeight="true" outlineLevel="0" collapsed="false">
      <c r="A13" s="22" t="s">
        <v>172</v>
      </c>
      <c r="B13" s="23" t="s">
        <v>118</v>
      </c>
      <c r="C13" s="24" t="s">
        <v>173</v>
      </c>
      <c r="D13" s="24" t="s">
        <v>174</v>
      </c>
      <c r="E13" s="24" t="s">
        <v>175</v>
      </c>
      <c r="F13" s="23" t="s">
        <v>89</v>
      </c>
      <c r="G13" s="24" t="s">
        <v>176</v>
      </c>
      <c r="H13" s="24" t="s">
        <v>177</v>
      </c>
      <c r="I13" s="24" t="s">
        <v>92</v>
      </c>
      <c r="J13" s="23" t="s">
        <v>58</v>
      </c>
      <c r="K13" s="23" t="s">
        <v>50</v>
      </c>
      <c r="L13" s="23" t="s">
        <v>44</v>
      </c>
      <c r="M13" s="23" t="s">
        <v>93</v>
      </c>
      <c r="N13" s="24"/>
      <c r="O13" s="23" t="s">
        <v>9</v>
      </c>
      <c r="P13" s="23" t="s">
        <v>94</v>
      </c>
      <c r="Q13" s="23" t="s">
        <v>11</v>
      </c>
    </row>
    <row r="14" customFormat="false" ht="75" hidden="false" customHeight="true" outlineLevel="0" collapsed="false">
      <c r="A14" s="22" t="s">
        <v>178</v>
      </c>
      <c r="B14" s="23" t="s">
        <v>179</v>
      </c>
      <c r="C14" s="24" t="s">
        <v>180</v>
      </c>
      <c r="D14" s="24" t="s">
        <v>181</v>
      </c>
      <c r="E14" s="24" t="s">
        <v>182</v>
      </c>
      <c r="F14" s="23" t="s">
        <v>89</v>
      </c>
      <c r="G14" s="24" t="s">
        <v>183</v>
      </c>
      <c r="H14" s="24" t="s">
        <v>184</v>
      </c>
      <c r="I14" s="24" t="s">
        <v>92</v>
      </c>
      <c r="J14" s="23" t="s">
        <v>62</v>
      </c>
      <c r="K14" s="23" t="s">
        <v>50</v>
      </c>
      <c r="L14" s="23" t="s">
        <v>44</v>
      </c>
      <c r="M14" s="23" t="s">
        <v>124</v>
      </c>
      <c r="N14" s="24"/>
      <c r="O14" s="23" t="s">
        <v>9</v>
      </c>
      <c r="P14" s="23" t="s">
        <v>94</v>
      </c>
      <c r="Q14" s="23" t="s">
        <v>11</v>
      </c>
    </row>
    <row r="15" customFormat="false" ht="102" hidden="false" customHeight="true" outlineLevel="0" collapsed="false">
      <c r="A15" s="22" t="s">
        <v>185</v>
      </c>
      <c r="B15" s="23" t="s">
        <v>186</v>
      </c>
      <c r="C15" s="24" t="s">
        <v>119</v>
      </c>
      <c r="D15" s="24" t="s">
        <v>187</v>
      </c>
      <c r="E15" s="24" t="s">
        <v>188</v>
      </c>
      <c r="F15" s="23" t="s">
        <v>89</v>
      </c>
      <c r="G15" s="24" t="s">
        <v>189</v>
      </c>
      <c r="H15" s="24" t="s">
        <v>190</v>
      </c>
      <c r="I15" s="24" t="s">
        <v>191</v>
      </c>
      <c r="J15" s="23" t="s">
        <v>58</v>
      </c>
      <c r="K15" s="23" t="s">
        <v>50</v>
      </c>
      <c r="L15" s="23" t="s">
        <v>44</v>
      </c>
      <c r="M15" s="23" t="s">
        <v>93</v>
      </c>
      <c r="N15" s="24"/>
      <c r="O15" s="23" t="s">
        <v>9</v>
      </c>
      <c r="P15" s="23" t="s">
        <v>94</v>
      </c>
      <c r="Q15" s="23" t="s">
        <v>11</v>
      </c>
    </row>
    <row r="16" customFormat="false" ht="88.5" hidden="false" customHeight="true" outlineLevel="0" collapsed="false">
      <c r="A16" s="22" t="s">
        <v>192</v>
      </c>
      <c r="B16" s="23" t="s">
        <v>135</v>
      </c>
      <c r="C16" s="24" t="s">
        <v>193</v>
      </c>
      <c r="D16" s="24" t="s">
        <v>194</v>
      </c>
      <c r="E16" s="24" t="s">
        <v>195</v>
      </c>
      <c r="F16" s="23" t="s">
        <v>89</v>
      </c>
      <c r="G16" s="24" t="s">
        <v>196</v>
      </c>
      <c r="H16" s="24" t="s">
        <v>197</v>
      </c>
      <c r="I16" s="24" t="s">
        <v>198</v>
      </c>
      <c r="J16" s="23" t="s">
        <v>58</v>
      </c>
      <c r="K16" s="23" t="s">
        <v>50</v>
      </c>
      <c r="L16" s="23" t="s">
        <v>44</v>
      </c>
      <c r="M16" s="23" t="s">
        <v>124</v>
      </c>
      <c r="N16" s="24" t="s">
        <v>199</v>
      </c>
      <c r="O16" s="23" t="s">
        <v>9</v>
      </c>
      <c r="P16" s="23" t="s">
        <v>94</v>
      </c>
      <c r="Q16" s="23" t="s">
        <v>11</v>
      </c>
    </row>
    <row r="17" customFormat="false" ht="102" hidden="false" customHeight="true" outlineLevel="0" collapsed="false">
      <c r="A17" s="22" t="s">
        <v>200</v>
      </c>
      <c r="B17" s="23" t="s">
        <v>201</v>
      </c>
      <c r="C17" s="24" t="s">
        <v>202</v>
      </c>
      <c r="D17" s="24" t="s">
        <v>203</v>
      </c>
      <c r="E17" s="24" t="s">
        <v>204</v>
      </c>
      <c r="F17" s="23" t="s">
        <v>106</v>
      </c>
      <c r="G17" s="24" t="s">
        <v>205</v>
      </c>
      <c r="H17" s="24" t="s">
        <v>206</v>
      </c>
      <c r="I17" s="24" t="s">
        <v>207</v>
      </c>
      <c r="J17" s="23" t="s">
        <v>63</v>
      </c>
      <c r="K17" s="23" t="s">
        <v>53</v>
      </c>
      <c r="L17" s="23" t="s">
        <v>44</v>
      </c>
      <c r="M17" s="23" t="s">
        <v>124</v>
      </c>
      <c r="N17" s="24" t="s">
        <v>208</v>
      </c>
      <c r="O17" s="23" t="s">
        <v>9</v>
      </c>
      <c r="P17" s="23" t="s">
        <v>133</v>
      </c>
      <c r="Q17" s="23" t="s">
        <v>11</v>
      </c>
    </row>
    <row r="18" customFormat="false" ht="102" hidden="false" customHeight="true" outlineLevel="0" collapsed="false">
      <c r="A18" s="22" t="s">
        <v>209</v>
      </c>
      <c r="B18" s="23" t="s">
        <v>210</v>
      </c>
      <c r="C18" s="24" t="s">
        <v>211</v>
      </c>
      <c r="D18" s="24" t="s">
        <v>212</v>
      </c>
      <c r="E18" s="24" t="s">
        <v>213</v>
      </c>
      <c r="F18" s="23" t="s">
        <v>89</v>
      </c>
      <c r="G18" s="24" t="s">
        <v>214</v>
      </c>
      <c r="H18" s="24" t="s">
        <v>215</v>
      </c>
      <c r="I18" s="24" t="s">
        <v>216</v>
      </c>
      <c r="J18" s="23" t="s">
        <v>63</v>
      </c>
      <c r="K18" s="23" t="s">
        <v>51</v>
      </c>
      <c r="L18" s="23" t="s">
        <v>44</v>
      </c>
      <c r="M18" s="23" t="s">
        <v>93</v>
      </c>
      <c r="N18" s="24" t="s">
        <v>217</v>
      </c>
      <c r="O18" s="23" t="s">
        <v>9</v>
      </c>
      <c r="P18" s="23" t="s">
        <v>94</v>
      </c>
      <c r="Q18" s="23" t="s">
        <v>11</v>
      </c>
    </row>
    <row r="19" customFormat="false" ht="115.5" hidden="false" customHeight="true" outlineLevel="0" collapsed="false">
      <c r="A19" s="22" t="s">
        <v>218</v>
      </c>
      <c r="B19" s="23" t="s">
        <v>210</v>
      </c>
      <c r="C19" s="24" t="s">
        <v>219</v>
      </c>
      <c r="D19" s="24" t="s">
        <v>220</v>
      </c>
      <c r="E19" s="24" t="s">
        <v>221</v>
      </c>
      <c r="F19" s="23" t="s">
        <v>89</v>
      </c>
      <c r="G19" s="24" t="s">
        <v>222</v>
      </c>
      <c r="H19" s="24" t="s">
        <v>223</v>
      </c>
      <c r="I19" s="24" t="s">
        <v>224</v>
      </c>
      <c r="J19" s="23" t="s">
        <v>63</v>
      </c>
      <c r="K19" s="23" t="s">
        <v>51</v>
      </c>
      <c r="L19" s="23" t="s">
        <v>44</v>
      </c>
      <c r="M19" s="23" t="s">
        <v>93</v>
      </c>
      <c r="N19" s="24" t="s">
        <v>225</v>
      </c>
      <c r="O19" s="23" t="s">
        <v>9</v>
      </c>
      <c r="P19" s="23" t="s">
        <v>133</v>
      </c>
      <c r="Q19" s="23" t="s">
        <v>11</v>
      </c>
    </row>
    <row r="20" customFormat="false" ht="129" hidden="false" customHeight="true" outlineLevel="0" collapsed="false">
      <c r="A20" s="22" t="s">
        <v>226</v>
      </c>
      <c r="B20" s="23" t="s">
        <v>227</v>
      </c>
      <c r="C20" s="24" t="s">
        <v>228</v>
      </c>
      <c r="D20" s="24" t="s">
        <v>229</v>
      </c>
      <c r="E20" s="24" t="s">
        <v>230</v>
      </c>
      <c r="F20" s="23" t="s">
        <v>89</v>
      </c>
      <c r="G20" s="24" t="s">
        <v>231</v>
      </c>
      <c r="H20" s="24" t="s">
        <v>232</v>
      </c>
      <c r="I20" s="24" t="s">
        <v>233</v>
      </c>
      <c r="J20" s="23" t="s">
        <v>64</v>
      </c>
      <c r="K20" s="23" t="s">
        <v>51</v>
      </c>
      <c r="L20" s="23" t="s">
        <v>44</v>
      </c>
      <c r="M20" s="23" t="s">
        <v>93</v>
      </c>
      <c r="N20" s="24" t="s">
        <v>234</v>
      </c>
      <c r="O20" s="23" t="s">
        <v>9</v>
      </c>
      <c r="P20" s="23" t="s">
        <v>133</v>
      </c>
      <c r="Q20" s="23" t="s">
        <v>11</v>
      </c>
    </row>
    <row r="21" customFormat="false" ht="88.5" hidden="false" customHeight="true" outlineLevel="0" collapsed="false">
      <c r="A21" s="22" t="s">
        <v>235</v>
      </c>
      <c r="B21" s="23" t="s">
        <v>236</v>
      </c>
      <c r="C21" s="24" t="s">
        <v>237</v>
      </c>
      <c r="D21" s="24" t="s">
        <v>238</v>
      </c>
      <c r="E21" s="24" t="s">
        <v>239</v>
      </c>
      <c r="F21" s="23" t="s">
        <v>89</v>
      </c>
      <c r="G21" s="24" t="s">
        <v>240</v>
      </c>
      <c r="H21" s="24" t="s">
        <v>241</v>
      </c>
      <c r="I21" s="24" t="s">
        <v>100</v>
      </c>
      <c r="J21" s="23" t="s">
        <v>65</v>
      </c>
      <c r="K21" s="23" t="s">
        <v>51</v>
      </c>
      <c r="L21" s="23" t="s">
        <v>44</v>
      </c>
      <c r="M21" s="23" t="s">
        <v>124</v>
      </c>
      <c r="N21" s="24"/>
      <c r="O21" s="23" t="s">
        <v>9</v>
      </c>
      <c r="P21" s="23" t="s">
        <v>94</v>
      </c>
      <c r="Q21" s="23" t="s">
        <v>11</v>
      </c>
    </row>
    <row r="22" customFormat="false" ht="115.5" hidden="false" customHeight="true" outlineLevel="0" collapsed="false">
      <c r="A22" s="22" t="s">
        <v>242</v>
      </c>
      <c r="B22" s="23" t="s">
        <v>143</v>
      </c>
      <c r="C22" s="24" t="s">
        <v>243</v>
      </c>
      <c r="D22" s="24" t="s">
        <v>244</v>
      </c>
      <c r="E22" s="24" t="s">
        <v>245</v>
      </c>
      <c r="F22" s="23" t="s">
        <v>89</v>
      </c>
      <c r="G22" s="24" t="s">
        <v>246</v>
      </c>
      <c r="H22" s="24" t="s">
        <v>247</v>
      </c>
      <c r="I22" s="24" t="s">
        <v>248</v>
      </c>
      <c r="J22" s="23" t="s">
        <v>61</v>
      </c>
      <c r="K22" s="23" t="s">
        <v>50</v>
      </c>
      <c r="L22" s="23" t="s">
        <v>44</v>
      </c>
      <c r="M22" s="23" t="s">
        <v>124</v>
      </c>
      <c r="N22" s="24" t="s">
        <v>249</v>
      </c>
      <c r="O22" s="23" t="s">
        <v>9</v>
      </c>
      <c r="P22" s="23" t="s">
        <v>133</v>
      </c>
      <c r="Q22" s="23" t="s">
        <v>11</v>
      </c>
    </row>
    <row r="23" customFormat="false" ht="129" hidden="false" customHeight="true" outlineLevel="0" collapsed="false">
      <c r="A23" s="22" t="s">
        <v>250</v>
      </c>
      <c r="B23" s="23" t="s">
        <v>251</v>
      </c>
      <c r="C23" s="24" t="s">
        <v>252</v>
      </c>
      <c r="D23" s="24" t="s">
        <v>253</v>
      </c>
      <c r="E23" s="24" t="s">
        <v>254</v>
      </c>
      <c r="F23" s="23" t="s">
        <v>106</v>
      </c>
      <c r="G23" s="24" t="s">
        <v>255</v>
      </c>
      <c r="H23" s="24" t="s">
        <v>256</v>
      </c>
      <c r="I23" s="24" t="s">
        <v>149</v>
      </c>
      <c r="J23" s="23" t="s">
        <v>59</v>
      </c>
      <c r="K23" s="23" t="s">
        <v>50</v>
      </c>
      <c r="L23" s="23" t="s">
        <v>44</v>
      </c>
      <c r="M23" s="23" t="s">
        <v>93</v>
      </c>
      <c r="N23" s="24" t="s">
        <v>257</v>
      </c>
      <c r="O23" s="23" t="s">
        <v>9</v>
      </c>
      <c r="P23" s="23" t="s">
        <v>258</v>
      </c>
      <c r="Q23" s="23" t="s">
        <v>11</v>
      </c>
    </row>
    <row r="24" customFormat="false" ht="129" hidden="false" customHeight="true" outlineLevel="0" collapsed="false">
      <c r="A24" s="22" t="s">
        <v>259</v>
      </c>
      <c r="B24" s="23" t="s">
        <v>118</v>
      </c>
      <c r="C24" s="24" t="s">
        <v>260</v>
      </c>
      <c r="D24" s="24" t="s">
        <v>261</v>
      </c>
      <c r="E24" s="24" t="s">
        <v>262</v>
      </c>
      <c r="F24" s="23" t="s">
        <v>89</v>
      </c>
      <c r="G24" s="24" t="s">
        <v>263</v>
      </c>
      <c r="H24" s="24" t="s">
        <v>264</v>
      </c>
      <c r="I24" s="24" t="s">
        <v>265</v>
      </c>
      <c r="J24" s="23" t="s">
        <v>58</v>
      </c>
      <c r="K24" s="23" t="s">
        <v>50</v>
      </c>
      <c r="L24" s="23" t="s">
        <v>44</v>
      </c>
      <c r="M24" s="23" t="s">
        <v>93</v>
      </c>
      <c r="N24" s="24" t="s">
        <v>266</v>
      </c>
      <c r="O24" s="23" t="s">
        <v>9</v>
      </c>
      <c r="P24" s="23" t="s">
        <v>133</v>
      </c>
      <c r="Q24" s="23" t="s">
        <v>11</v>
      </c>
    </row>
    <row r="25" customFormat="false" ht="129" hidden="false" customHeight="true" outlineLevel="0" collapsed="false">
      <c r="A25" s="22" t="s">
        <v>267</v>
      </c>
      <c r="B25" s="23" t="s">
        <v>102</v>
      </c>
      <c r="C25" s="24" t="s">
        <v>268</v>
      </c>
      <c r="D25" s="24" t="s">
        <v>269</v>
      </c>
      <c r="E25" s="24" t="s">
        <v>270</v>
      </c>
      <c r="F25" s="23" t="s">
        <v>106</v>
      </c>
      <c r="G25" s="24" t="s">
        <v>271</v>
      </c>
      <c r="H25" s="24" t="s">
        <v>272</v>
      </c>
      <c r="I25" s="24" t="s">
        <v>273</v>
      </c>
      <c r="J25" s="23" t="s">
        <v>64</v>
      </c>
      <c r="K25" s="23" t="s">
        <v>53</v>
      </c>
      <c r="L25" s="23" t="s">
        <v>44</v>
      </c>
      <c r="M25" s="23" t="s">
        <v>93</v>
      </c>
      <c r="N25" s="24" t="s">
        <v>274</v>
      </c>
      <c r="O25" s="23" t="s">
        <v>9</v>
      </c>
      <c r="P25" s="23" t="s">
        <v>133</v>
      </c>
      <c r="Q25" s="23" t="s">
        <v>11</v>
      </c>
    </row>
    <row r="26" customFormat="false" ht="102" hidden="false" customHeight="true" outlineLevel="0" collapsed="false">
      <c r="A26" s="22" t="s">
        <v>275</v>
      </c>
      <c r="B26" s="23" t="s">
        <v>210</v>
      </c>
      <c r="C26" s="24" t="s">
        <v>276</v>
      </c>
      <c r="D26" s="24" t="s">
        <v>277</v>
      </c>
      <c r="E26" s="24" t="s">
        <v>278</v>
      </c>
      <c r="F26" s="23" t="s">
        <v>89</v>
      </c>
      <c r="G26" s="24" t="s">
        <v>279</v>
      </c>
      <c r="H26" s="24" t="s">
        <v>280</v>
      </c>
      <c r="I26" s="24" t="s">
        <v>281</v>
      </c>
      <c r="J26" s="23" t="s">
        <v>63</v>
      </c>
      <c r="K26" s="23" t="s">
        <v>51</v>
      </c>
      <c r="L26" s="23" t="s">
        <v>44</v>
      </c>
      <c r="M26" s="23" t="s">
        <v>93</v>
      </c>
      <c r="N26" s="24" t="s">
        <v>282</v>
      </c>
      <c r="O26" s="23" t="s">
        <v>9</v>
      </c>
      <c r="P26" s="23" t="s">
        <v>133</v>
      </c>
      <c r="Q26" s="23" t="s">
        <v>11</v>
      </c>
    </row>
    <row r="27" customFormat="false" ht="115.5" hidden="false" customHeight="true" outlineLevel="0" collapsed="false">
      <c r="A27" s="22" t="s">
        <v>283</v>
      </c>
      <c r="B27" s="23" t="s">
        <v>284</v>
      </c>
      <c r="C27" s="24" t="s">
        <v>285</v>
      </c>
      <c r="D27" s="24" t="s">
        <v>286</v>
      </c>
      <c r="E27" s="24" t="s">
        <v>287</v>
      </c>
      <c r="F27" s="23" t="s">
        <v>106</v>
      </c>
      <c r="G27" s="24" t="s">
        <v>288</v>
      </c>
      <c r="H27" s="24" t="s">
        <v>289</v>
      </c>
      <c r="I27" s="24" t="s">
        <v>290</v>
      </c>
      <c r="J27" s="23" t="s">
        <v>66</v>
      </c>
      <c r="K27" s="23" t="s">
        <v>54</v>
      </c>
      <c r="L27" s="23" t="s">
        <v>44</v>
      </c>
      <c r="M27" s="23" t="s">
        <v>93</v>
      </c>
      <c r="N27" s="24" t="s">
        <v>291</v>
      </c>
      <c r="O27" s="23" t="s">
        <v>9</v>
      </c>
      <c r="P27" s="23" t="s">
        <v>94</v>
      </c>
      <c r="Q27" s="23" t="s">
        <v>11</v>
      </c>
    </row>
  </sheetData>
  <conditionalFormatting sqref="L2:L77">
    <cfRule type="expression" priority="2" aboveAverage="0" equalAverage="0" bottom="0" percent="0" rank="0" text="" dxfId="11">
      <formula>L2="OK"</formula>
    </cfRule>
    <cfRule type="expression" priority="3" aboveAverage="0" equalAverage="0" bottom="0" percent="0" rank="0" text="" dxfId="12">
      <formula>L2="NOK"</formula>
    </cfRule>
    <cfRule type="expression" priority="4" aboveAverage="0" equalAverage="0" bottom="0" percent="0" rank="0" text="" dxfId="13">
      <formula>L2="Pendiente"</formula>
    </cfRule>
    <cfRule type="expression" priority="5" aboveAverage="0" equalAverage="0" bottom="0" percent="0" rank="0" text="" dxfId="14">
      <formula>L2="Bloqueado"</formula>
    </cfRule>
  </conditionalFormatting>
  <conditionalFormatting sqref="K2:K77">
    <cfRule type="expression" priority="6" aboveAverage="0" equalAverage="0" bottom="0" percent="0" rank="0" text="" dxfId="15">
      <formula>K2="Móvil (app)"</formula>
    </cfRule>
    <cfRule type="expression" priority="7" aboveAverage="0" equalAverage="0" bottom="0" percent="0" rank="0" text="" dxfId="16">
      <formula>K2="Web (admin)"</formula>
    </cfRule>
    <cfRule type="expression" priority="8" aboveAverage="0" equalAverage="0" bottom="0" percent="0" rank="0" text="" dxfId="16">
      <formula>K2="Web (navegador)"</formula>
    </cfRule>
    <cfRule type="expression" priority="9" aboveAverage="0" equalAverage="0" bottom="0" percent="0" rank="0" text="" dxfId="17">
      <formula>K2="Móvil + Web"</formula>
    </cfRule>
    <cfRule type="expression" priority="10" aboveAverage="0" equalAverage="0" bottom="0" percent="0" rank="0" text="" dxfId="18">
      <formula>K2="API / Terminal"</formula>
    </cfRule>
  </conditionalFormatting>
  <dataValidations count="6">
    <dataValidation allowBlank="true" errorStyle="stop" operator="between" showDropDown="false" showErrorMessage="false" showInputMessage="false" sqref="F2:F77" type="list">
      <formula1>"Funcional,No Funcional"</formula1>
      <formula2>0</formula2>
    </dataValidation>
    <dataValidation allowBlank="true" errorStyle="stop" operator="between" showDropDown="false" showErrorMessage="false" showInputMessage="false" sqref="L2:L77" type="list">
      <formula1>"OK,NOK,Pendiente,Bloqueado"</formula1>
      <formula2>0</formula2>
    </dataValidation>
    <dataValidation allowBlank="true" errorStyle="stop" operator="between" showDropDown="false" showErrorMessage="false" showInputMessage="false" sqref="M2:M77" type="list">
      <formula1>"SI,NO"</formula1>
      <formula2>0</formula2>
    </dataValidation>
    <dataValidation allowBlank="true" errorStyle="stop" operator="between" showDropDown="false" showErrorMessage="false" showInputMessage="false" sqref="P2:P77" type="list">
      <formula1>"Baja,Media,Alta"</formula1>
      <formula2>0</formula2>
    </dataValidation>
    <dataValidation allowBlank="true" errorStyle="stop" operator="between" showDropDown="false" showErrorMessage="false" showInputMessage="false" sqref="K2:K77" type="list">
      <formula1>"Móvil (app),Web (admin),Web (navegador),Móvil + Web,API / Terminal"</formula1>
      <formula2>0</formula2>
    </dataValidation>
    <dataValidation allowBlank="true" errorStyle="stop" operator="between" showDropDown="false" showErrorMessage="false" showInputMessage="false" sqref="J2:J77" type="list">
      <formula1>"RF-01 Autenticación,RF-02 Asignación,RF-03 Comunicación IoT,RF-06 Consulta de Bahías Disponibles,RF-07 Escaneo e Inicio de Sesión,RF-08 Historial de Autogestión,RF-09 Gestión y Monitoreo de Racks,RF-10 Administración de Usuarios y Permisos,RF-11 Embebimie"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2026-10-14T20:20:50Z</dcterms:created>
  <dc:creator>openpyxl</dc:creator>
  <dc:description/>
  <dc:language>en-US</dc:language>
  <cp:lastModifiedBy/>
  <dcterms:modified xsi:type="dcterms:W3CDTF">2026-10-14T20:20:50Z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